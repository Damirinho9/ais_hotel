
<file path=[Content_Types].xml><?xml version="1.0" encoding="utf-8"?>
<ns0:Types xmlns:ns0="http://schemas.openxmlformats.org/package/2006/content-types">
  <ns0:Default Extension="xml" ContentType="application/xml"/>
  <ns0:Default Extension="rels" ContentType="application/vnd.openxmlformats-package.relationships+xml"/>
  <ns0:Default Extension="png" ContentType="image/png"/>
  <ns0:Default Extension="jpeg" ContentType="image/jpeg"/>
  <ns0:Override PartName="/xl/_rels/workbook.xml.rels" ContentType="application/vnd.openxmlformats-package.relationships+xml"/>
  <ns0:Override PartName="/xl/workbook.xml" ContentType="application/vnd.ms-excel.sheet.macroEnabled.main+xml"/>
  <ns0:Override PartName="/xl/theme/theme1.xml" ContentType="application/vnd.openxmlformats-officedocument.theme+xml"/>
  <ns0:Override PartName="/xl/styles.xml" ContentType="application/vnd.openxmlformats-officedocument.spreadsheetml.styles+xml"/>
  <ns0:Override PartName="/xl/worksheets/sheet1.xml" ContentType="application/vnd.openxmlformats-officedocument.spreadsheetml.worksheet+xml"/>
  <ns0:Override PartName="/xl/worksheets/sheet2.xml" ContentType="application/vnd.openxmlformats-officedocument.spreadsheetml.worksheet+xml"/>
  <ns0:Override PartName="/xl/worksheets/sheet3.xml" ContentType="application/vnd.openxmlformats-officedocument.spreadsheetml.worksheet+xml"/>
  <ns0:Override PartName="/xl/worksheets/sheet4.xml" ContentType="application/vnd.openxmlformats-officedocument.spreadsheetml.worksheet+xml"/>
  <ns0:Override PartName="/xl/worksheets/sheet5.xml" ContentType="application/vnd.openxmlformats-officedocument.spreadsheetml.worksheet+xml"/>
  <ns0:Override PartName="/xl/worksheets/sheet6.xml" ContentType="application/vnd.openxmlformats-officedocument.spreadsheetml.worksheet+xml"/>
  <ns0:Override PartName="/xl/worksheets/sheet7.xml" ContentType="application/vnd.openxmlformats-officedocument.spreadsheetml.worksheet+xml"/>
  <ns0:Override PartName="/xl/worksheets/_rels/sheet7.xml.rels" ContentType="application/vnd.openxmlformats-package.relationships+xml"/>
  <ns0:Override PartName="/xl/worksheets/_rels/sheet6.xml.rels" ContentType="application/vnd.openxmlformats-package.relationships+xml"/>
  <ns0:Override PartName="/xl/worksheets/_rels/sheet5.xml.rels" ContentType="application/vnd.openxmlformats-package.relationships+xml"/>
  <ns0:Override PartName="/xl/worksheets/_rels/sheet4.xml.rels" ContentType="application/vnd.openxmlformats-package.relationships+xml"/>
  <ns0:Override PartName="/xl/worksheets/_rels/sheet3.xml.rels" ContentType="application/vnd.openxmlformats-package.relationships+xml"/>
  <ns0:Override PartName="/xl/worksheets/_rels/sheet1.xml.rels" ContentType="application/vnd.openxmlformats-package.relationships+xml"/>
  <ns0:Override PartName="/xl/worksheets/sheet8.xml" ContentType="application/vnd.openxmlformats-officedocument.spreadsheetml.worksheet+xml"/>
  <ns0:Override PartName="/xl/sharedStrings.xml" ContentType="application/vnd.openxmlformats-officedocument.spreadsheetml.sharedStrings+xml"/>
  <ns0:Override PartName="/xl/drawings/_rels/drawing1.xml.rels" ContentType="application/vnd.openxmlformats-package.relationships+xml"/>
  <ns0:Override PartName="/xl/drawings/drawing1.xml" ContentType="application/vnd.openxmlformats-officedocument.drawing+xml"/>
  <ns0:Override PartName="/xl/charts/chart1.xml" ContentType="application/vnd.openxmlformats-officedocument.drawingml.chart+xml"/>
  <ns0:Override PartName="/xl/charts/chart2.xml" ContentType="application/vnd.openxmlformats-officedocument.drawingml.chart+xml"/>
  <ns0:Override PartName="/_rels/.rels" ContentType="application/vnd.openxmlformats-package.relationships+xml"/>
  <ns0:Override PartName="/docProps/core.xml" ContentType="application/vnd.openxmlformats-package.core-properties+xml"/>
  <ns0:Override PartName="/docProps/app.xml" ContentType="application/vnd.openxmlformats-officedocument.extended-properties+xml"/>
  <ns0:Override PartName="/docProps/custom.xml" ContentType="application/vnd.openxmlformats-officedocument.custom-properties+xml"/>
  <ns0:Override PartName="/xl/vbaProject.bin" ContentType="application/vnd.ms-office.vbaProject"/>
  <ns0:Default Extension="vml" ContentType="application/vnd.openxmlformats-officedocument.vmlDrawing"/>
  <ns0:Override PartName="/xl/drawings/drawing2.xml" ContentType="application/vnd.openxmlformats-officedocument.drawing+xml"/>
  <ns0:Override PartName="/xl/drawings/drawing3.xml" ContentType="application/vnd.openxmlformats-officedocument.drawing+xml"/>
  <ns0:Override PartName="/xl/drawings/drawing4.xml" ContentType="application/vnd.openxmlformats-officedocument.drawing+xml"/>
  <ns0:Override PartName="/xl/drawings/drawing5.xml" ContentType="application/vnd.openxmlformats-officedocument.drawing+xml"/>
  <ns0:Override PartName="/xl/drawings/drawing6.xml" ContentType="application/vnd.openxmlformats-officedocument.drawing+xml"/>
  <ns0:Override PartName="/xl/drawings/drawing7.xml" ContentType="application/vnd.openxmlformats-officedocument.drawing+xml"/>
</ns0: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Заставка" sheetId="1" state="visible" r:id="rId3"/>
    <sheet name="Авторизация" sheetId="2" state="visible" r:id="rId4"/>
    <sheet name="Меню" sheetId="3" state="visible" r:id="rId5"/>
    <sheet name="НомернойФонд" sheetId="4" state="visible" r:id="rId6"/>
    <sheet name="Гости" sheetId="5" state="visible" r:id="rId7"/>
    <sheet name="Бронирование" sheetId="6" state="visible" r:id="rId8"/>
    <sheet name="Отчёты" sheetId="7" state="visible" r:id="rId9"/>
    <sheet name="VBA_Код" sheetId="8" state="visible" r:id="rId10"/>
  </sheets>
  <definedNames>
    <definedName function="false" hidden="false" name="Бронирование_Данные" vbProcedure="false">Бронирование!$C$11:$M$20</definedName>
    <definedName function="false" hidden="false" name="Гости_Данные" vbProcedure="false">Гости!$C$8:$I$17</definedName>
    <definedName function="false" hidden="false" name="НомернойФонд_Данные" vbProcedure="false">НомернойФонд!$C$4:$I$19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<sst xmlns="http://schemas.openxmlformats.org/spreadsheetml/2006/main" count="360" uniqueCount="253">
  <si>
    <t xml:space="preserve">АВТОМАТИЗИРОВАННАЯ ИНФОРМАЦИОННАЯ СИСТЕМА</t>
  </si>
  <si>
    <t xml:space="preserve">«ГОСТИНИЦА»</t>
  </si>
  <si>
    <t xml:space="preserve">Система управления номерным фондом и бронированием</t>
  </si>
  <si>
    <t xml:space="preserve">Версия 1.0</t>
  </si>
  <si>
    <t xml:space="preserve">▶ ВОЙТИ В СИСТЕМУ</t>
  </si>
  <si>
    <t xml:space="preserve">(Нажмите для перехода к форме авторизации)</t>
  </si>
  <si>
    <t xml:space="preserve">ТАБЛИЦА ПОЛЬЗОВАТЕЛЕЙ</t>
  </si>
  <si>
    <t xml:space="preserve">ВХОД В СИСТЕМУ</t>
  </si>
  <si>
    <t xml:space="preserve">Логин</t>
  </si>
  <si>
    <t xml:space="preserve">Пароль</t>
  </si>
  <si>
    <t xml:space="preserve">Роль</t>
  </si>
  <si>
    <t xml:space="preserve">ФИО</t>
  </si>
  <si>
    <t xml:space="preserve">admin</t>
  </si>
  <si>
    <t xml:space="preserve">admin123</t>
  </si>
  <si>
    <t xml:space="preserve">Администратор</t>
  </si>
  <si>
    <t xml:space="preserve">Иванов И.И.</t>
  </si>
  <si>
    <t xml:space="preserve">Логин:</t>
  </si>
  <si>
    <t xml:space="preserve">manager</t>
  </si>
  <si>
    <t xml:space="preserve">man456</t>
  </si>
  <si>
    <t xml:space="preserve">Менеджер</t>
  </si>
  <si>
    <t xml:space="preserve">Петрова А.С.</t>
  </si>
  <si>
    <t xml:space="preserve">reception</t>
  </si>
  <si>
    <t xml:space="preserve">rec789</t>
  </si>
  <si>
    <t xml:space="preserve">Ресепшн</t>
  </si>
  <si>
    <t xml:space="preserve">Сидорова М.В.</t>
  </si>
  <si>
    <t xml:space="preserve">Пароль:</t>
  </si>
  <si>
    <t xml:space="preserve">guest</t>
  </si>
  <si>
    <t xml:space="preserve">guest000</t>
  </si>
  <si>
    <t xml:space="preserve">Гость</t>
  </si>
  <si>
    <t xml:space="preserve">Козлов Д.А.</t>
  </si>
  <si>
    <t xml:space="preserve">[ ВОЙТИ ]</t>
  </si>
  <si>
    <t xml:space="preserve">Результат авторизации:</t>
  </si>
  <si>
    <t xml:space="preserve">ГЛАВНОЕ МЕНЮ — АИС «ГОСТИНИЦА»</t>
  </si>
  <si>
    <t xml:space="preserve">Текущий пользователь:</t>
  </si>
  <si>
    <t xml:space="preserve">(имя из авторизации)</t>
  </si>
  <si>
    <t xml:space="preserve">Роль:</t>
  </si>
  <si>
    <t xml:space="preserve">(роль)</t>
  </si>
  <si>
    <t xml:space="preserve">НОМЕРНОЙ ФОНД</t>
  </si>
  <si>
    <t xml:space="preserve">ГОСТИ</t>
  </si>
  <si>
    <t xml:space="preserve">БРОНИРОВАНИЕ</t>
  </si>
  <si>
    <t xml:space="preserve">ОТЧЁТЫ</t>
  </si>
  <si>
    <t xml:space="preserve">ПОИСК</t>
  </si>
  <si>
    <t xml:space="preserve">АДМИНИСТРИРОВАНИЕ</t>
  </si>
  <si>
    <t xml:space="preserve">◀ ВЫХОД</t>
  </si>
  <si>
    <t xml:space="preserve">Матрица доступа по ролям</t>
  </si>
  <si>
    <t xml:space="preserve">Функция</t>
  </si>
  <si>
    <t xml:space="preserve">Номерной фонд</t>
  </si>
  <si>
    <t xml:space="preserve">✓ Полный</t>
  </si>
  <si>
    <t xml:space="preserve">✓ Просмотр</t>
  </si>
  <si>
    <t xml:space="preserve">Гости</t>
  </si>
  <si>
    <t xml:space="preserve">✗</t>
  </si>
  <si>
    <t xml:space="preserve">Бронирование</t>
  </si>
  <si>
    <t xml:space="preserve">✓ Своё</t>
  </si>
  <si>
    <t xml:space="preserve">Отчёты</t>
  </si>
  <si>
    <t xml:space="preserve">Администрирование</t>
  </si>
  <si>
    <t xml:space="preserve">НОМЕРНОЙ ФОНД ГОСТИНИЦЫ</t>
  </si>
  <si>
    <t xml:space="preserve">◀ В МЕНЮ</t>
  </si>
  <si>
    <t xml:space="preserve">СвободныеНомера</t>
  </si>
  <si>
    <t xml:space="preserve">ВсеНомера</t>
  </si>
  <si>
    <t xml:space="preserve">№ п/п</t>
  </si>
  <si>
    <t xml:space="preserve">№ Комнаты</t>
  </si>
  <si>
    <t xml:space="preserve">Тип номера</t>
  </si>
  <si>
    <t xml:space="preserve">Этаж</t>
  </si>
  <si>
    <t xml:space="preserve">Вместимость (чел.)</t>
  </si>
  <si>
    <t xml:space="preserve">Площадь (м²)</t>
  </si>
  <si>
    <t xml:space="preserve">Цена за сутки (руб.)</t>
  </si>
  <si>
    <t xml:space="preserve">Статус</t>
  </si>
  <si>
    <t xml:space="preserve">СТАТИСТИКА НОМЕРНОГО ФОНДА</t>
  </si>
  <si>
    <t xml:space="preserve">Стандарт</t>
  </si>
  <si>
    <t xml:space="preserve">Свободен</t>
  </si>
  <si>
    <t xml:space="preserve">Всего номеров:</t>
  </si>
  <si>
    <t xml:space="preserve">Свободных:</t>
  </si>
  <si>
    <t xml:space="preserve">Занят</t>
  </si>
  <si>
    <t xml:space="preserve">Занятых:</t>
  </si>
  <si>
    <t xml:space="preserve">Забронированных:</t>
  </si>
  <si>
    <t xml:space="preserve">Бронь</t>
  </si>
  <si>
    <t xml:space="preserve">Полулюкс</t>
  </si>
  <si>
    <t xml:space="preserve">Стандарт:</t>
  </si>
  <si>
    <t xml:space="preserve">Полулюкс:</t>
  </si>
  <si>
    <t xml:space="preserve">Люкс:</t>
  </si>
  <si>
    <t xml:space="preserve">Президентский:</t>
  </si>
  <si>
    <t xml:space="preserve">Люкс</t>
  </si>
  <si>
    <t xml:space="preserve">Средняя цена:</t>
  </si>
  <si>
    <t xml:space="preserve">Мин. цена:</t>
  </si>
  <si>
    <t xml:space="preserve">Макс. цена:</t>
  </si>
  <si>
    <t xml:space="preserve">Президентский</t>
  </si>
  <si>
    <t xml:space="preserve">СПРАВОЧНИК ГОСТЕЙ</t>
  </si>
  <si>
    <t xml:space="preserve">ФОРМА ДОБАВЛЕНИЯ ГОСТЯ</t>
  </si>
  <si>
    <t xml:space="preserve">ID Гостя:</t>
  </si>
  <si>
    <t xml:space="preserve">ФИО:</t>
  </si>
  <si>
    <t xml:space="preserve">Паспорт:</t>
  </si>
  <si>
    <t xml:space="preserve">Телефон:</t>
  </si>
  <si>
    <t xml:space="preserve">Email:</t>
  </si>
  <si>
    <t xml:space="preserve">Дата рождения:</t>
  </si>
  <si>
    <t xml:space="preserve">Примечание:</t>
  </si>
  <si>
    <t xml:space="preserve">[ ДОБАВИТЬ ]</t>
  </si>
  <si>
    <t xml:space="preserve">ID Гостя</t>
  </si>
  <si>
    <t xml:space="preserve">Серия/номер паспорта</t>
  </si>
  <si>
    <t xml:space="preserve">Телефон</t>
  </si>
  <si>
    <t xml:space="preserve">Email</t>
  </si>
  <si>
    <t xml:space="preserve">Дата рождения</t>
  </si>
  <si>
    <t xml:space="preserve">Примечание</t>
  </si>
  <si>
    <t xml:space="preserve">СписокГостей</t>
  </si>
  <si>
    <t xml:space="preserve">Г001</t>
  </si>
  <si>
    <t xml:space="preserve">Смирнов Алексей Петрович</t>
  </si>
  <si>
    <t xml:space="preserve">4512 345678</t>
  </si>
  <si>
    <t xml:space="preserve">+7(916)111-22-33</t>
  </si>
  <si>
    <t xml:space="preserve">smirnov@mail.ru</t>
  </si>
  <si>
    <t xml:space="preserve">15.03.1985</t>
  </si>
  <si>
    <t xml:space="preserve">VIP</t>
  </si>
  <si>
    <t xml:space="preserve">Г002</t>
  </si>
  <si>
    <t xml:space="preserve">Кузнецова Ольга Ивановна</t>
  </si>
  <si>
    <t xml:space="preserve">4513 987654</t>
  </si>
  <si>
    <t xml:space="preserve">+7(925)222-33-44</t>
  </si>
  <si>
    <t xml:space="preserve">kuznetsova@yandex.ru</t>
  </si>
  <si>
    <t xml:space="preserve">22.07.1990</t>
  </si>
  <si>
    <t xml:space="preserve">Г003</t>
  </si>
  <si>
    <t xml:space="preserve">Попов Дмитрий Сергеевич</t>
  </si>
  <si>
    <t xml:space="preserve">4510 112233</t>
  </si>
  <si>
    <t xml:space="preserve">+7(903)333-44-55</t>
  </si>
  <si>
    <t xml:space="preserve">popov@gmail.com</t>
  </si>
  <si>
    <t xml:space="preserve">10.11.1978</t>
  </si>
  <si>
    <t xml:space="preserve">Аллергия на перо</t>
  </si>
  <si>
    <t xml:space="preserve">Г004</t>
  </si>
  <si>
    <t xml:space="preserve">Новикова Елена Андреевна</t>
  </si>
  <si>
    <t xml:space="preserve">4515 445566</t>
  </si>
  <si>
    <t xml:space="preserve">+7(977)444-55-66</t>
  </si>
  <si>
    <t xml:space="preserve">novikova@mail.ru</t>
  </si>
  <si>
    <t xml:space="preserve">05.01.1995</t>
  </si>
  <si>
    <t xml:space="preserve">Г005</t>
  </si>
  <si>
    <t xml:space="preserve">Морозов Иван Владимирович</t>
  </si>
  <si>
    <t xml:space="preserve">4511 778899</t>
  </si>
  <si>
    <t xml:space="preserve">+7(926)555-66-77</t>
  </si>
  <si>
    <t xml:space="preserve">morozov@yandex.ru</t>
  </si>
  <si>
    <t xml:space="preserve">18.09.1982</t>
  </si>
  <si>
    <t xml:space="preserve">Постоянный клиент</t>
  </si>
  <si>
    <t xml:space="preserve">Г006</t>
  </si>
  <si>
    <t xml:space="preserve">Волкова Анна Дмитриевна</t>
  </si>
  <si>
    <t xml:space="preserve">4514 334455</t>
  </si>
  <si>
    <t xml:space="preserve">+7(915)666-77-88</t>
  </si>
  <si>
    <t xml:space="preserve">volkova@gmail.com</t>
  </si>
  <si>
    <t xml:space="preserve">30.06.1988</t>
  </si>
  <si>
    <t xml:space="preserve">Г007</t>
  </si>
  <si>
    <t xml:space="preserve">Соловьёв Артём Игоревич</t>
  </si>
  <si>
    <t xml:space="preserve">4516 556677</t>
  </si>
  <si>
    <t xml:space="preserve">+7(905)777-88-99</t>
  </si>
  <si>
    <t xml:space="preserve">solovyov@mail.ru</t>
  </si>
  <si>
    <t xml:space="preserve">12.12.1975</t>
  </si>
  <si>
    <t xml:space="preserve">Г008</t>
  </si>
  <si>
    <t xml:space="preserve">Лебедева Мария Олеговна</t>
  </si>
  <si>
    <t xml:space="preserve">4517 889900</t>
  </si>
  <si>
    <t xml:space="preserve">+7(919)888-99-00</t>
  </si>
  <si>
    <t xml:space="preserve">lebedeva@yandex.ru</t>
  </si>
  <si>
    <t xml:space="preserve">25.04.1993</t>
  </si>
  <si>
    <t xml:space="preserve">Г009</t>
  </si>
  <si>
    <t xml:space="preserve">Козлов Николай Павлович</t>
  </si>
  <si>
    <t xml:space="preserve">4518 112244</t>
  </si>
  <si>
    <t xml:space="preserve">+7(903)999-00-11</t>
  </si>
  <si>
    <t xml:space="preserve">kozlov@gmail.com</t>
  </si>
  <si>
    <t xml:space="preserve">08.08.1980</t>
  </si>
  <si>
    <t xml:space="preserve">Г010</t>
  </si>
  <si>
    <t xml:space="preserve">Федорова Татьяна Сергеевна</t>
  </si>
  <si>
    <t xml:space="preserve">4519 335577</t>
  </si>
  <si>
    <t xml:space="preserve">+7(926)000-11-22</t>
  </si>
  <si>
    <t xml:space="preserve">fedorova@mail.ru</t>
  </si>
  <si>
    <t xml:space="preserve">14.02.1992</t>
  </si>
  <si>
    <t xml:space="preserve">УПРАВЛЕНИЕ БРОНИРОВАНИЕМ</t>
  </si>
  <si>
    <t xml:space="preserve">ФОРМА НОВОГО БРОНИРОВАНИЯ</t>
  </si>
  <si>
    <t xml:space="preserve">№ Комнаты:</t>
  </si>
  <si>
    <t xml:space="preserve">Гость (ФИО):</t>
  </si>
  <si>
    <t xml:space="preserve">Дата заезда:</t>
  </si>
  <si>
    <t xml:space="preserve">Дата выезда:</t>
  </si>
  <si>
    <t xml:space="preserve">Кол-во гостей:</t>
  </si>
  <si>
    <t xml:space="preserve">[ ДОБАВИТЬ БРОНЬ ]</t>
  </si>
  <si>
    <t xml:space="preserve">Тип номера:</t>
  </si>
  <si>
    <t xml:space="preserve">Цена/сутки:</t>
  </si>
  <si>
    <t xml:space="preserve">Статус номера:</t>
  </si>
  <si>
    <t xml:space="preserve">Сортировать по:</t>
  </si>
  <si>
    <t xml:space="preserve">[ СОРТИРОВАТЬ ▼ ]</t>
  </si>
  <si>
    <t xml:space="preserve">Поиск (ФИО/Номер):</t>
  </si>
  <si>
    <t xml:space="preserve">[ НАЙТИ ]</t>
  </si>
  <si>
    <t xml:space="preserve">[ ВСЕ ЗАПИСИ ]</t>
  </si>
  <si>
    <t xml:space="preserve">ID Брони</t>
  </si>
  <si>
    <t xml:space="preserve">Гость (ФИО)</t>
  </si>
  <si>
    <t xml:space="preserve">Дата заезда</t>
  </si>
  <si>
    <t xml:space="preserve">Дата выезда</t>
  </si>
  <si>
    <t xml:space="preserve">Кол-во суток</t>
  </si>
  <si>
    <t xml:space="preserve">Цена/сутки (руб.)</t>
  </si>
  <si>
    <t xml:space="preserve">Итого (руб.)</t>
  </si>
  <si>
    <t xml:space="preserve">Статус брони</t>
  </si>
  <si>
    <t xml:space="preserve">Кол-во гостей</t>
  </si>
  <si>
    <t xml:space="preserve">Б001</t>
  </si>
  <si>
    <t xml:space="preserve">Активна</t>
  </si>
  <si>
    <t xml:space="preserve">Б002</t>
  </si>
  <si>
    <t xml:space="preserve">Б003</t>
  </si>
  <si>
    <t xml:space="preserve">Б004</t>
  </si>
  <si>
    <t xml:space="preserve">Б005</t>
  </si>
  <si>
    <t xml:space="preserve">Б006</t>
  </si>
  <si>
    <t xml:space="preserve">Б007</t>
  </si>
  <si>
    <t xml:space="preserve">Завершена</t>
  </si>
  <si>
    <t xml:space="preserve">Б008</t>
  </si>
  <si>
    <t xml:space="preserve">Б009</t>
  </si>
  <si>
    <t xml:space="preserve">Б010</t>
  </si>
  <si>
    <t xml:space="preserve">ИТОГО:</t>
  </si>
  <si>
    <t xml:space="preserve">ОТЧЁТЫ И АНАЛИТИКА</t>
  </si>
  <si>
    <t xml:space="preserve">ОТЧЁТ 1: Доход по типам номеров</t>
  </si>
  <si>
    <t xml:space="preserve">Кол-во бронирований</t>
  </si>
  <si>
    <t xml:space="preserve">Общий доход (руб.)</t>
  </si>
  <si>
    <t xml:space="preserve">Средний доход (руб.)</t>
  </si>
  <si>
    <t xml:space="preserve">Доля дохода (%)</t>
  </si>
  <si>
    <t xml:space="preserve">ИТОГО</t>
  </si>
  <si>
    <t xml:space="preserve">ОТЧЁТ 2: Статистика бронирований по статусам</t>
  </si>
  <si>
    <t xml:space="preserve">Количество</t>
  </si>
  <si>
    <t xml:space="preserve">Общая сумма (руб.)</t>
  </si>
  <si>
    <t xml:space="preserve">Средняя сумма (руб.)</t>
  </si>
  <si>
    <t xml:space="preserve">Доля (%)</t>
  </si>
  <si>
    <t xml:space="preserve">Отменена</t>
  </si>
  <si>
    <t xml:space="preserve">ОТЧЁТ 3: Загрузка номерного фонда</t>
  </si>
  <si>
    <t xml:space="preserve">Показатель</t>
  </si>
  <si>
    <t xml:space="preserve">Всего номеров</t>
  </si>
  <si>
    <t xml:space="preserve">Свободных</t>
  </si>
  <si>
    <t xml:space="preserve">Занятых</t>
  </si>
  <si>
    <t xml:space="preserve">Забронированных</t>
  </si>
  <si>
    <t xml:space="preserve">% загрузки</t>
  </si>
  <si>
    <t xml:space="preserve">ИНСТРУКЦИЯ ПО ДОБАВЛЕНИЮ VBA-МАКРОСОВ</t>
  </si>
  <si>
    <t xml:space="preserve">ВАЖНО: Для работы макросов необходимо сохранить файл в формате .xlsm</t>
  </si>
  <si>
    <t xml:space="preserve">Файл → Сохранить как → Тип: Книга Excel с поддержкой макросов (.xlsm)</t>
  </si>
  <si>
    <t xml:space="preserve">Для добавления VBA-кода: нажмите Alt+F11 → Insert → Module</t>
  </si>
  <si>
    <t xml:space="preserve">Скопируйте код из файла VBA_Hotel_Code.txt в модуль</t>
  </si>
  <si>
    <t xml:space="preserve">═══════════════════════════════════════════════════════</t>
  </si>
  <si>
    <t xml:space="preserve">ОПИСАНИЕ МАКРОСОВ:</t>
  </si>
  <si>
    <t xml:space="preserve">1. АВТОРИЗАЦИЯ (Sub Авторизация):</t>
  </si>
  <si>
    <t xml:space="preserve">   - Считывает логин/пароль из ячеек D5/D7 листа Авторизация</t>
  </si>
  <si>
    <t xml:space="preserve">   - Проверяет по таблице пользователей (I3:L7)</t>
  </si>
  <si>
    <t xml:space="preserve">   - При успехе — переход в Меню с отображением роли</t>
  </si>
  <si>
    <t xml:space="preserve">2. ДОБАВИТЬ БРОНЬ (Sub ДобавитьБронь):</t>
  </si>
  <si>
    <t xml:space="preserve">   - Считывает данные из формы бронирования</t>
  </si>
  <si>
    <t xml:space="preserve">   - Проверяет что номер свободен</t>
  </si>
  <si>
    <t xml:space="preserve">   - Добавляет запись в таблицу бронирований</t>
  </si>
  <si>
    <t xml:space="preserve">   - Обновляет статус номера на 'Бронь'</t>
  </si>
  <si>
    <t xml:space="preserve">3. СОРТИРОВКА (Sub СортировкаБронирований):</t>
  </si>
  <si>
    <t xml:space="preserve">   - Сортирует таблицу по выбранному в списке полю</t>
  </si>
  <si>
    <t xml:space="preserve">   - Работает через поле со списком (ячейка E8)</t>
  </si>
  <si>
    <t xml:space="preserve">4. ПОИСК (Sub НайтиЗапись / Sub ПоказатьВсе):</t>
  </si>
  <si>
    <t xml:space="preserve">   - Фильтрует данные по введённому критерию</t>
  </si>
  <si>
    <t xml:space="preserve">   - Кнопка 'Все записи' снимает фильтр</t>
  </si>
  <si>
    <t xml:space="preserve">5. ДОБАВИТЬ ГОСТЯ (Sub ДобавитьГостя):</t>
  </si>
  <si>
    <t xml:space="preserve">   - Добавляет гостя из формы на листе Гости</t>
  </si>
  <si>
    <t xml:space="preserve">6. НАВИГАЦИЯ (Sub GoTo_*):</t>
  </si>
  <si>
    <t xml:space="preserve">   - Макросы перехода между листами</t>
  </si>
  <si>
    <t xml:space="preserve">НАЗНАЧЕНИЕ МАКРОСОВ КНОПКАМ:</t>
  </si>
  <si>
    <t xml:space="preserve">Разработчик → Вставить → Кнопка (элемент управления формы)</t>
  </si>
  <si>
    <t xml:space="preserve">При создании кнопки выберите нужный макрос из списка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</si>
</sst>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General"/>
    <numFmt numFmtId="166" formatCode="#,##0"/>
    <numFmt numFmtId="167" formatCode="dd\.mm\.yyyy"/>
    <numFmt numFmtId="168" formatCode="0"/>
    <numFmt numFmtId="169" formatCode="0.0%"/>
  </numFmts>
  <fonts count="44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8"/>
      <color rgb="FF90CAF9"/>
      <name val="Arial"/>
      <family val="0"/>
      <charset val="1"/>
    </font>
    <font>
      <b val="true"/>
      <sz val="36"/>
      <color rgb="FFE0E0E0"/>
      <name val="Arial"/>
      <family val="0"/>
      <charset val="1"/>
    </font>
    <font>
      <sz val="16"/>
      <color rgb="FF90CAF9"/>
      <name val="Arial"/>
      <family val="0"/>
      <charset val="1"/>
    </font>
    <font>
      <sz val="12"/>
      <color rgb="FF607D8B"/>
      <name val="Arial"/>
      <family val="0"/>
      <charset val="1"/>
    </font>
    <font>
      <b val="true"/>
      <u val="single"/>
      <sz val="16"/>
      <color rgb="FF4FC3F7"/>
      <name val="Arial"/>
      <family val="0"/>
      <charset val="1"/>
    </font>
    <font>
      <i val="true"/>
      <sz val="10"/>
      <color rgb="FF78909C"/>
      <name val="Arial"/>
      <family val="0"/>
      <charset val="1"/>
    </font>
    <font>
      <b val="true"/>
      <sz val="11"/>
      <color rgb="FFFFFFFF"/>
      <name val="Arial"/>
      <family val="0"/>
      <charset val="1"/>
    </font>
    <font>
      <b val="true"/>
      <sz val="16"/>
      <color rgb="FF1B3A5C"/>
      <name val="Arial"/>
      <family val="0"/>
      <charset val="1"/>
    </font>
    <font>
      <sz val="10"/>
      <name val="Arial"/>
      <family val="0"/>
      <charset val="1"/>
    </font>
    <font>
      <b val="true"/>
      <sz val="12"/>
      <color rgb="FF1B3A5C"/>
      <name val="Arial"/>
      <family val="0"/>
      <charset val="1"/>
    </font>
    <font>
      <sz val="11"/>
      <color rgb="FF000080"/>
      <name val="Arial"/>
      <family val="0"/>
      <charset val="1"/>
    </font>
    <font>
      <b val="true"/>
      <sz val="14"/>
      <color rgb="FF2E75B6"/>
      <name val="Arial"/>
      <family val="0"/>
      <charset val="1"/>
    </font>
    <font>
      <i val="true"/>
      <sz val="10"/>
      <color rgb="FF888888"/>
      <name val="Arial"/>
      <family val="0"/>
      <charset val="1"/>
    </font>
    <font>
      <b val="true"/>
      <sz val="12"/>
      <color rgb="FF008000"/>
      <name val="Arial"/>
      <family val="0"/>
      <charset val="1"/>
    </font>
    <font>
      <b val="true"/>
      <sz val="20"/>
      <color rgb="FF1B3A5C"/>
      <name val="Arial"/>
      <family val="0"/>
      <charset val="1"/>
    </font>
    <font>
      <sz val="10"/>
      <color rgb="FF666666"/>
      <name val="Arial"/>
      <family val="0"/>
      <charset val="1"/>
    </font>
    <font>
      <b val="true"/>
      <sz val="10"/>
      <color rgb="FF2E75B6"/>
      <name val="Arial"/>
      <family val="0"/>
      <charset val="1"/>
    </font>
    <font>
      <b val="true"/>
      <sz val="14"/>
      <color rgb="FFFFFFFF"/>
      <name val="Arial"/>
      <family val="0"/>
      <charset val="1"/>
    </font>
    <font>
      <b val="true"/>
      <sz val="12"/>
      <color rgb="FF2E75B6"/>
      <name val="Arial"/>
      <family val="0"/>
      <charset val="1"/>
    </font>
    <font>
      <b val="true"/>
      <sz val="10"/>
      <color rgb="FF006600"/>
      <name val="Arial"/>
      <family val="0"/>
      <charset val="1"/>
    </font>
    <font>
      <sz val="10"/>
      <color rgb="FFCC0000"/>
      <name val="Arial"/>
      <family val="0"/>
      <charset val="1"/>
    </font>
    <font>
      <u val="single"/>
      <sz val="12"/>
      <color rgb="FF4472C4"/>
      <name val="Arial"/>
      <family val="0"/>
      <charset val="1"/>
    </font>
    <font>
      <sz val="8"/>
      <color rgb="FF999999"/>
      <name val="Cambria"/>
      <family val="0"/>
      <charset val="1"/>
    </font>
    <font>
      <sz val="8"/>
      <name val="Cambria"/>
      <family val="0"/>
      <charset val="1"/>
    </font>
    <font>
      <b val="true"/>
      <sz val="10"/>
      <color rgb="FF1B3A5C"/>
      <name val="Arial"/>
      <family val="0"/>
      <charset val="1"/>
    </font>
    <font>
      <b val="true"/>
      <sz val="9"/>
      <color rgb="FF1B3A5C"/>
      <name val="Arial"/>
      <family val="0"/>
      <charset val="1"/>
    </font>
    <font>
      <b val="true"/>
      <sz val="11"/>
      <color rgb="FF2E75B6"/>
      <name val="Arial"/>
      <family val="0"/>
      <charset val="1"/>
    </font>
    <font>
      <b val="true"/>
      <sz val="12"/>
      <color rgb="FFFFFFFF"/>
      <name val="Arial"/>
      <family val="0"/>
      <charset val="1"/>
    </font>
    <font>
      <b val="true"/>
      <sz val="11"/>
      <color rgb="FF8E44AD"/>
      <name val="Arial"/>
      <family val="0"/>
      <charset val="1"/>
    </font>
    <font>
      <sz val="9"/>
      <color rgb="FF666666"/>
      <name val="Arial"/>
      <family val="0"/>
      <charset val="1"/>
    </font>
    <font>
      <b val="true"/>
      <sz val="10"/>
      <name val="Arial"/>
      <family val="0"/>
      <charset val="1"/>
    </font>
    <font>
      <b val="true"/>
      <sz val="10"/>
      <color rgb="FF27AE60"/>
      <name val="Arial"/>
      <family val="0"/>
      <charset val="1"/>
    </font>
    <font>
      <b val="true"/>
      <sz val="10"/>
      <color rgb="FFE74C3C"/>
      <name val="Arial"/>
      <family val="0"/>
      <charset val="1"/>
    </font>
    <font>
      <b val="true"/>
      <sz val="11"/>
      <color rgb="FF1B3A5C"/>
      <name val="Arial"/>
      <family val="0"/>
      <charset val="1"/>
    </font>
    <font>
      <b val="true"/>
      <sz val="18"/>
      <color rgb="FF000000"/>
      <name val="Calibri"/>
      <family val="2"/>
    </font>
    <font>
      <sz val="10"/>
      <color rgb="FF000000"/>
      <name val="Calibri"/>
      <family val="2"/>
    </font>
    <font>
      <sz val="10"/>
      <name val="Consolas"/>
      <family val="0"/>
      <charset val="1"/>
    </font>
    <font>
      <b val="true"/>
      <sz val="11"/>
      <color rgb="FF1B3A5C"/>
      <name val="Consolas"/>
      <family val="0"/>
      <charset val="1"/>
    </font>
    <font>
      <b val="true"/>
      <sz val="10"/>
      <color rgb="FF2E75B6"/>
      <name val="Consolas"/>
      <family val="0"/>
      <charset val="1"/>
    </font>
    <font>
      <sz val="10"/>
      <color rgb="FF666666"/>
      <name val="Consolas"/>
      <family val="0"/>
      <charset val="1"/>
    </font>
  </fonts>
  <fills count="15">
    <fill>
      <patternFill patternType="none"/>
    </fill>
    <fill>
      <patternFill patternType="gray125"/>
    </fill>
    <fill>
      <patternFill patternType="solid">
        <fgColor rgb="FF1A1A2E"/>
        <bgColor rgb="FF000000"/>
      </patternFill>
    </fill>
    <fill>
      <patternFill patternType="solid">
        <fgColor rgb="FFFFFFFF"/>
        <bgColor rgb="FFF9F9F9"/>
      </patternFill>
    </fill>
    <fill>
      <patternFill patternType="solid">
        <fgColor rgb="FF1B3A5C"/>
        <bgColor rgb="FF1A1A2E"/>
      </patternFill>
    </fill>
    <fill>
      <patternFill patternType="solid">
        <fgColor rgb="FF2E75B6"/>
        <bgColor rgb="FF2980B9"/>
      </patternFill>
    </fill>
    <fill>
      <patternFill patternType="solid">
        <fgColor rgb="FFD6E4F0"/>
        <bgColor rgb="FFE0E0E0"/>
      </patternFill>
    </fill>
    <fill>
      <patternFill patternType="solid">
        <fgColor rgb="FFFFF2CC"/>
        <bgColor rgb="FFF9F9F9"/>
      </patternFill>
    </fill>
    <fill>
      <patternFill patternType="solid">
        <fgColor rgb="FFF0F4F8"/>
        <bgColor rgb="FFF9F9F9"/>
      </patternFill>
    </fill>
    <fill>
      <patternFill patternType="solid">
        <fgColor rgb="FF27AE60"/>
        <bgColor rgb="FF2ECC71"/>
      </patternFill>
    </fill>
    <fill>
      <patternFill patternType="solid">
        <fgColor rgb="FFE67E22"/>
        <bgColor rgb="FFE74C3C"/>
      </patternFill>
    </fill>
    <fill>
      <patternFill patternType="solid">
        <fgColor rgb="FF8E44AD"/>
        <bgColor rgb="FF9B59B6"/>
      </patternFill>
    </fill>
    <fill>
      <patternFill patternType="solid">
        <fgColor rgb="FF2980B9"/>
        <bgColor rgb="FF2E75B6"/>
      </patternFill>
    </fill>
    <fill>
      <patternFill patternType="solid">
        <fgColor rgb="FFC0392B"/>
        <bgColor rgb="FFC0504D"/>
      </patternFill>
    </fill>
    <fill>
      <patternFill patternType="solid">
        <fgColor rgb="FF7F8C8D"/>
        <bgColor rgb="FF888888"/>
      </patternFill>
    </fill>
  </fills>
  <borders count="11">
    <border diagonalUp="false" diagonalDown="false">
      <left/>
      <right/>
      <top/>
      <bottom/>
      <diagonal/>
    </border>
    <border diagonalUp="false" diagonalDown="false"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 diagonalUp="false" diagonalDown="false">
      <left style="thin">
        <color rgb="FFB0B0B0"/>
      </left>
      <right/>
      <top style="thin">
        <color rgb="FFB0B0B0"/>
      </top>
      <bottom style="thin">
        <color rgb="FFB0B0B0"/>
      </bottom>
      <diagonal/>
    </border>
    <border diagonalUp="false" diagonalDown="false">
      <left style="medium">
        <color rgb="FF2E75B6"/>
      </left>
      <right/>
      <top style="medium">
        <color rgb="FF2E75B6"/>
      </top>
      <bottom/>
      <diagonal/>
    </border>
    <border diagonalUp="false" diagonalDown="false">
      <left style="medium">
        <color rgb="FF27AE60"/>
      </left>
      <right/>
      <top style="medium">
        <color rgb="FF27AE60"/>
      </top>
      <bottom/>
      <diagonal/>
    </border>
    <border diagonalUp="false" diagonalDown="false">
      <left style="medium">
        <color rgb="FFE67E22"/>
      </left>
      <right/>
      <top style="medium">
        <color rgb="FFE67E22"/>
      </top>
      <bottom/>
      <diagonal/>
    </border>
    <border diagonalUp="false" diagonalDown="false">
      <left style="medium">
        <color rgb="FF8E44AD"/>
      </left>
      <right/>
      <top style="medium">
        <color rgb="FF8E44AD"/>
      </top>
      <bottom/>
      <diagonal/>
    </border>
    <border diagonalUp="false" diagonalDown="false">
      <left style="medium">
        <color rgb="FF2980B9"/>
      </left>
      <right/>
      <top style="medium">
        <color rgb="FF2980B9"/>
      </top>
      <bottom/>
      <diagonal/>
    </border>
    <border diagonalUp="false" diagonalDown="false">
      <left style="medium">
        <color rgb="FFC0392B"/>
      </left>
      <right/>
      <top style="medium">
        <color rgb="FFC0392B"/>
      </top>
      <bottom/>
      <diagonal/>
    </border>
    <border diagonalUp="false" diagonalDown="false">
      <left style="medium">
        <color rgb="FF7F8C8D"/>
      </left>
      <right/>
      <top style="medium">
        <color rgb="FF7F8C8D"/>
      </top>
      <bottom/>
      <diagonal/>
    </border>
    <border diagonalUp="false" diagonalDown="false">
      <left/>
      <right/>
      <top style="double"/>
      <bottom style="double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8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4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3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5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2" fillId="6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3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4" fillId="7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5" fillId="3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6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8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9" fillId="8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0" fillId="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5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9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1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11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12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13" borderId="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14" borderId="9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2" fillId="8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4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3" fillId="6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3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6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5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2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5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2" fillId="6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8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5" fontId="12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6" fontId="12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2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29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14" fillId="7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1" fillId="11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9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2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3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8" fillId="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4" fillId="7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12" fillId="6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8" fontId="12" fillId="6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12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8" fontId="12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13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4" fillId="6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0" fillId="6" borderId="1" xfId="0" applyFont="fals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0" fillId="6" borderId="1" xfId="0" applyFont="false" applyBorder="true" applyAlignment="true" applyProtection="false">
      <alignment horizontal="center" vertical="center" textRotation="0" wrapText="true" indent="0" shrinkToFit="false"/>
      <protection locked="true" hidden="false"/>
    </xf>
    <xf numFmtId="169" fontId="0" fillId="6" borderId="1" xfId="0" applyFont="fals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4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0" fillId="3" borderId="1" xfId="0" applyFont="fals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0" fillId="3" borderId="1" xfId="0" applyFont="false" applyBorder="true" applyAlignment="true" applyProtection="false">
      <alignment horizontal="center" vertical="center" textRotation="0" wrapText="true" indent="0" shrinkToFit="false"/>
      <protection locked="true" hidden="false"/>
    </xf>
    <xf numFmtId="169" fontId="0" fillId="3" borderId="1" xfId="0" applyFont="fals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7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3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3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1" xfId="0" applyFont="fals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1" fillId="5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1" fillId="9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4">
    <dxf>
      <font>
        <b val="1"/>
        <color rgb="FF006100"/>
      </font>
      <fill>
        <patternFill>
          <bgColor rgb="FFC6EF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6500"/>
      </font>
      <fill>
        <patternFill>
          <bgColor rgb="FFFFEB9C"/>
        </patternFill>
      </fill>
    </dxf>
    <dxf>
      <font>
        <color rgb="FF666666"/>
      </font>
      <fill>
        <patternFill>
          <bgColor rgb="FFD9D9D9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9F9F9"/>
      <rgbColor rgb="FFFF00FF"/>
      <rgbColor rgb="FF00FFFF"/>
      <rgbColor rgb="FF9C0006"/>
      <rgbColor rgb="FF008000"/>
      <rgbColor rgb="FF000080"/>
      <rgbColor rgb="FF9C6500"/>
      <rgbColor rgb="FF9B59B6"/>
      <rgbColor rgb="FF2980B9"/>
      <rgbColor rgb="FFB0B0B0"/>
      <rgbColor rgb="FF878787"/>
      <rgbColor rgb="FF78909C"/>
      <rgbColor rgb="FF8E44AD"/>
      <rgbColor rgb="FFFFF2CC"/>
      <rgbColor rgb="FFF0F4F8"/>
      <rgbColor rgb="FF607D8B"/>
      <rgbColor rgb="FFE74C3C"/>
      <rgbColor rgb="FF2E75B6"/>
      <rgbColor rgb="FFD9D9D9"/>
      <rgbColor rgb="FF000080"/>
      <rgbColor rgb="FFFF00FF"/>
      <rgbColor rgb="FFFFFF00"/>
      <rgbColor rgb="FF00FFFF"/>
      <rgbColor rgb="FF4F81BD"/>
      <rgbColor rgb="FF800000"/>
      <rgbColor rgb="FF3498DB"/>
      <rgbColor rgb="FF0000FF"/>
      <rgbColor rgb="FF2ECC71"/>
      <rgbColor rgb="FFD6E4F0"/>
      <rgbColor rgb="FFC6EFCE"/>
      <rgbColor rgb="FFFFEB9C"/>
      <rgbColor rgb="FF90CAF9"/>
      <rgbColor rgb="FFE0E0E0"/>
      <rgbColor rgb="FF888888"/>
      <rgbColor rgb="FFFFC7CE"/>
      <rgbColor rgb="FF4472C4"/>
      <rgbColor rgb="FF4FC3F7"/>
      <rgbColor rgb="FF9BBB59"/>
      <rgbColor rgb="FFFFCC00"/>
      <rgbColor rgb="FF7F8C8D"/>
      <rgbColor rgb="FFE67E22"/>
      <rgbColor rgb="FF8064A2"/>
      <rgbColor rgb="FF999999"/>
      <rgbColor rgb="FF1B3A5C"/>
      <rgbColor rgb="FF27AE60"/>
      <rgbColor rgb="FF006100"/>
      <rgbColor rgb="FF006600"/>
      <rgbColor rgb="FFC0392B"/>
      <rgbColor rgb="FFC0504D"/>
      <rgbColor rgb="FF666666"/>
      <rgbColor rgb="FF1A1A2E"/>
    </indexedColors>
  </colors>
</styleSheet>
</file>

<file path=xl/_rels/workbook.xml.rels><?xml version='1.0' encoding='utf-8'?>
<ns0:Relationships xmlns:ns0="http://schemas.openxmlformats.org/package/2006/relationships"><ns0:Relationship Id="rId1" Type="http://schemas.openxmlformats.org/officeDocument/2006/relationships/theme" Target="theme/theme1.xml" /><ns0:Relationship Id="rId2" Type="http://schemas.openxmlformats.org/officeDocument/2006/relationships/styles" Target="styles.xml" /><ns0:Relationship Id="rId3" Type="http://schemas.openxmlformats.org/officeDocument/2006/relationships/worksheet" Target="worksheets/sheet1.xml" /><ns0:Relationship Id="rId4" Type="http://schemas.openxmlformats.org/officeDocument/2006/relationships/worksheet" Target="worksheets/sheet2.xml" /><ns0:Relationship Id="rId5" Type="http://schemas.openxmlformats.org/officeDocument/2006/relationships/worksheet" Target="worksheets/sheet3.xml" /><ns0:Relationship Id="rId6" Type="http://schemas.openxmlformats.org/officeDocument/2006/relationships/worksheet" Target="worksheets/sheet4.xml" /><ns0:Relationship Id="rId7" Type="http://schemas.openxmlformats.org/officeDocument/2006/relationships/worksheet" Target="worksheets/sheet5.xml" /><ns0:Relationship Id="rId8" Type="http://schemas.openxmlformats.org/officeDocument/2006/relationships/worksheet" Target="worksheets/sheet6.xml" /><ns0:Relationship Id="rId9" Type="http://schemas.openxmlformats.org/officeDocument/2006/relationships/worksheet" Target="worksheets/sheet7.xml" /><ns0:Relationship Id="rId10" Type="http://schemas.openxmlformats.org/officeDocument/2006/relationships/worksheet" Target="worksheets/sheet8.xml" /><ns0:Relationship Id="rId11" Type="http://schemas.openxmlformats.org/officeDocument/2006/relationships/sharedStrings" Target="sharedStrings.xml" />
<ns0:Relationship Id="rId12" Type="http://schemas.microsoft.com/office/2006/relationships/vbaProject" Target="vbaProject.bin" /></ns0: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Доход по типам номеров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pieChart>
        <c:varyColors val="1"/>
        <c:ser>
          <c:idx val="0"/>
          <c:order val="0"/>
          <c:tx>
            <c:strRef>
              <c:f>Отчёты!D4</c:f>
              <c:strCache>
                <c:ptCount val="1"/>
                <c:pt idx="0">
                  <c:v>Общий доход (руб.)</c:v>
                </c:pt>
              </c:strCache>
            </c:strRef>
          </c:tx>
          <c:spPr>
            <a:solidFill>
              <a:srgbClr val="4f81bd"/>
            </a:solidFill>
            <a:ln w="9360">
              <a:solidFill>
                <a:srgbClr val="f9f9f9"/>
              </a:solidFill>
              <a:round/>
            </a:ln>
          </c:spPr>
          <c:explosion val="0"/>
          <c:dPt>
            <c:idx val="0"/>
            <c:spPr>
              <a:solidFill>
                <a:srgbClr val="4f81bd"/>
              </a:solidFill>
              <a:ln w="9360">
                <a:solidFill>
                  <a:srgbClr val="f9f9f9"/>
                </a:solidFill>
                <a:round/>
              </a:ln>
            </c:spPr>
          </c:dPt>
          <c:dPt>
            <c:idx val="1"/>
            <c:spPr>
              <a:solidFill>
                <a:srgbClr val="c0504d"/>
              </a:solidFill>
              <a:ln w="9360">
                <a:solidFill>
                  <a:srgbClr val="f9f9f9"/>
                </a:solidFill>
                <a:round/>
              </a:ln>
            </c:spPr>
          </c:dPt>
          <c:dPt>
            <c:idx val="2"/>
            <c:spPr>
              <a:solidFill>
                <a:srgbClr val="9bbb59"/>
              </a:solidFill>
              <a:ln w="9360">
                <a:solidFill>
                  <a:srgbClr val="f9f9f9"/>
                </a:solidFill>
                <a:round/>
              </a:ln>
            </c:spPr>
          </c:dPt>
          <c:dPt>
            <c:idx val="3"/>
            <c:spPr>
              <a:solidFill>
                <a:srgbClr val="8064a2"/>
              </a:solidFill>
              <a:ln w="9360">
                <a:solidFill>
                  <a:srgbClr val="f9f9f9"/>
                </a:solidFill>
                <a:round/>
              </a:ln>
            </c:spPr>
          </c:dPt>
          <c:dLbls>
            <c:dLbl>
              <c:idx val="0"/>
              <c:txPr>
                <a:bodyPr wrap="none"/>
                <a:lstStyle/>
                <a:p>
                  <a:pPr>
                    <a:defRPr b="0" sz="1000" spc="-1" strike="noStrike">
                      <a:latin typeface="Arial"/>
                    </a:defRPr>
                  </a:pPr>
                </a:p>
              </c:txPr>
              <c:showLegendKey val="0"/>
              <c:showVal val="0"/>
              <c:showCatName val="0"/>
              <c:showSerName val="0"/>
              <c:showPercent val="0"/>
              <c:separator> </c:separator>
            </c:dLbl>
            <c:dLbl>
              <c:idx val="1"/>
              <c:txPr>
                <a:bodyPr wrap="none"/>
                <a:lstStyle/>
                <a:p>
                  <a:pPr>
                    <a:defRPr b="0" sz="1000" spc="-1" strike="noStrike">
                      <a:latin typeface="Arial"/>
                    </a:defRPr>
                  </a:pPr>
                </a:p>
              </c:txPr>
              <c:showLegendKey val="0"/>
              <c:showVal val="0"/>
              <c:showCatName val="0"/>
              <c:showSerName val="0"/>
              <c:showPercent val="0"/>
              <c:separator> </c:separator>
            </c:dLbl>
            <c:dLbl>
              <c:idx val="2"/>
              <c:txPr>
                <a:bodyPr wrap="none"/>
                <a:lstStyle/>
                <a:p>
                  <a:pPr>
                    <a:defRPr b="0" sz="1000" spc="-1" strike="noStrike">
                      <a:latin typeface="Arial"/>
                    </a:defRPr>
                  </a:pPr>
                </a:p>
              </c:txPr>
              <c:showLegendKey val="0"/>
              <c:showVal val="0"/>
              <c:showCatName val="0"/>
              <c:showSerName val="0"/>
              <c:showPercent val="0"/>
              <c:separator> </c:separator>
            </c:dLbl>
            <c:dLbl>
              <c:idx val="3"/>
              <c:txPr>
                <a:bodyPr wrap="none"/>
                <a:lstStyle/>
                <a:p>
                  <a:pPr>
                    <a:defRPr b="0" sz="1000" spc="-1" strike="noStrike">
                      <a:latin typeface="Arial"/>
                    </a:defRPr>
                  </a:pPr>
                </a:p>
              </c:txPr>
              <c:showLegendKey val="0"/>
              <c:showVal val="0"/>
              <c:showCatName val="0"/>
              <c:showSerName val="0"/>
              <c:showPercent val="0"/>
              <c:separator> </c:separator>
            </c:dLbl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</c:dLbls>
          <c:cat>
            <c:strRef>
              <c:f>Отчёты!$B$5:$B$8</c:f>
              <c:strCache>
                <c:ptCount val="4"/>
                <c:pt idx="0">
                  <c:v>Стандарт</c:v>
                </c:pt>
                <c:pt idx="1">
                  <c:v>Полулюкс</c:v>
                </c:pt>
                <c:pt idx="2">
                  <c:v>Люкс</c:v>
                </c:pt>
                <c:pt idx="3">
                  <c:v>Президентский</c:v>
                </c:pt>
              </c:strCache>
            </c:strRef>
          </c:cat>
          <c:val>
            <c:numRef>
              <c:f>Отчёты!$D$5:$D$8</c:f>
              <c:numCache>
                <c:formatCode>#,##0</c:formatCode>
                <c:ptCount val="4"/>
                <c:pt idx="0">
                  <c:v>44000</c:v>
                </c:pt>
                <c:pt idx="1">
                  <c:v>61300</c:v>
                </c:pt>
                <c:pt idx="2">
                  <c:v>97000</c:v>
                </c:pt>
                <c:pt idx="3">
                  <c:v>100000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Бронирования по статусам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Отчёты!C13</c:f>
              <c:strCache>
                <c:ptCount val="1"/>
                <c:pt idx="0">
                  <c:v>Количество</c:v>
                </c:pt>
              </c:strCache>
            </c:strRef>
          </c:tx>
          <c:spPr>
            <a:solidFill>
              <a:srgbClr val="4f81bd"/>
            </a:solidFill>
            <a:ln w="9360">
              <a:solidFill>
                <a:srgbClr val="f9f9f9"/>
              </a:solidFill>
              <a:round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Отчёты!$B$14:$B$17</c:f>
              <c:strCache>
                <c:ptCount val="4"/>
                <c:pt idx="0">
                  <c:v>Активна</c:v>
                </c:pt>
                <c:pt idx="1">
                  <c:v>Бронь</c:v>
                </c:pt>
                <c:pt idx="2">
                  <c:v>Завершена</c:v>
                </c:pt>
                <c:pt idx="3">
                  <c:v>Отменена</c:v>
                </c:pt>
              </c:strCache>
            </c:strRef>
          </c:cat>
          <c:val>
            <c:numRef>
              <c:f>Отчёты!$C$14:$C$17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0</c:v>
                </c:pt>
              </c:numCache>
            </c:numRef>
          </c:val>
        </c:ser>
        <c:gapWidth val="150"/>
        <c:overlap val="0"/>
        <c:axId val="91715848"/>
        <c:axId val="51876050"/>
      </c:barChart>
      <c:catAx>
        <c:axId val="91715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1876050"/>
        <c:crosses val="autoZero"/>
        <c:auto val="1"/>
        <c:lblAlgn val="ctr"/>
        <c:lblOffset val="100"/>
        <c:noMultiLvlLbl val="0"/>
      </c:catAx>
      <c:valAx>
        <c:axId val="51876050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91715848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
</Relationships>
</file>

<file path=xl/drawings/drawing1.xml><?xml version="1.0" encoding="utf-8"?>
<ns0:wsDr xmlns:ns0="http://schemas.openxmlformats.org/drawingml/2006/spreadsheetDrawing" xmlns:ns1="http://schemas.openxmlformats.org/drawingml/2006/main" xmlns:ns2="http://schemas.openxmlformats.org/drawingml/2006/chart" xmlns:ns3="http://schemas.openxmlformats.org/officeDocument/2006/relationships">
  <ns0:twoCellAnchor editAs="oneCell">
    <ns0:from>
      <ns0:col>7</ns0:col>
      <ns0:colOff>0</ns0:colOff>
      <ns0:row>1</ns0:row>
      <ns0:rowOff>130680</ns0:rowOff>
    </ns0:from>
    <ns0:to>
      <ns0:col>16</ns0:col>
      <ns0:colOff>255960</ns0:colOff>
      <ns0:row>19</ns0:row>
      <ns0:rowOff>360</ns0:rowOff>
    </ns0:to>
    <ns0:graphicFrame>
      <ns0:nvGraphicFramePr>
        <ns0:cNvPr id="0" name="Chart 1"/>
        <ns0:cNvGraphicFramePr/>
      </ns0:nvGraphicFramePr>
      <ns0:xfrm>
        <ns1:off x="8412480" y="380880"/>
        <ns1:ext cx="5759640" cy="3599640"/>
      </ns0:xfrm>
      <ns1:graphic>
        <ns1:graphicData uri="http://schemas.openxmlformats.org/drawingml/2006/chart">
          <ns2:chart ns3:id="rId1"/>
        </ns1:graphicData>
      </ns1:graphic>
    </ns0:graphicFrame>
    <ns0:clientData/>
  </ns0:twoCellAnchor>
  <ns0:twoCellAnchor editAs="oneCell">
    <ns0:from>
      <ns0:col>7</ns0:col>
      <ns0:colOff>0</ns0:colOff>
      <ns0:row>9</ns0:row>
      <ns0:rowOff>171000</ns0:rowOff>
    </ns0:from>
    <ns0:to>
      <ns0:col>16</ns0:col>
      <ns0:colOff>255960</ns0:colOff>
      <ns0:row>28</ns0:row>
      <ns0:rowOff>360</ns0:rowOff>
    </ns0:to>
    <ns0:graphicFrame>
      <ns0:nvGraphicFramePr>
        <ns0:cNvPr id="1" name="Chart 2"/>
        <ns0:cNvGraphicFramePr/>
      </ns0:nvGraphicFramePr>
      <ns0:xfrm>
        <ns1:off x="8412480" y="2095560"/>
        <ns1:ext cx="5759640" cy="3599640"/>
      </ns0:xfrm>
      <ns1:graphic>
        <ns1:graphicData uri="http://schemas.openxmlformats.org/drawingml/2006/chart">
          <ns2:chart ns3:id="rId2"/>
        </ns1:graphicData>
      </ns1:graphic>
    </ns0:graphicFrame>
    <ns0:clientData/>
  </ns0:twoCellAnchor>
  <ns0:twoCellAnchor>
    <ns0:from>
      <ns0:col>11</ns0:col>
      <ns0:colOff>0</ns0:colOff>
      <ns0:row>0</ns0:row>
      <ns0:rowOff>0</ns0:rowOff>
    </ns0:from>
    <ns0:to>
      <ns0:col>13</ns0:col>
      <ns0:colOff>0</ns0:colOff>
      <ns0:row>1</ns0:row>
      <ns0:rowOff>0</ns0:rowOff>
    </ns0:to>
    <ns0:sp>
      <ns0:nvSpPr>
        <ns0:cNvPr id="2" name="btn_menu_reports" fPublished="0" macro="GoTo_Меню"/>
        <ns0:cNvSpPr/>
        <ns0:nvPr/>
      </ns0:nvSpPr>
      <ns0:spPr>
        <ns1:solidFill>
          <ns1:srgbClr val="FFFFFF">
            <ns1:alpha val="1000"/>
          </ns1:srgbClr>
        </ns1:solidFill>
        <ns1:ln>
          <ns1:noFill/>
        </ns1:ln>
        <ns1:prstGeom prst="rect">
          <ns1:avLst/>
        </ns1:prstGeom>
      </ns0:spPr>
      <ns0:txBody>
        <ns1:bodyPr/>
        <ns1:lstStyle/>
        <ns1:p>
          <ns1:pPr/>
          <ns1:endParaRPr/>
        </ns1:p>
      </ns0:txBody>
    </ns0:sp>
    <ns0:clientData/>
  </ns0:twoCellAnchor>
</ns0:wsDr>
</file>

<file path=xl/drawings/drawing2.xml><?xml version="1.0" encoding="utf-8"?>
<ns0:wsDr xmlns:ns0="http://schemas.openxmlformats.org/drawingml/2006/spreadsheetDrawing" xmlns:ns1="http://schemas.openxmlformats.org/drawingml/2006/main">
  <ns0:twoCellAnchor>
    <ns0:from>
      <ns0:col>1</ns0:col>
      <ns0:colOff>0</ns0:colOff>
      <ns0:row>19</ns0:row>
      <ns0:rowOff>0</ns0:rowOff>
    </ns0:from>
    <ns0:to>
      <ns0:col>14</ns0:col>
      <ns0:colOff>0</ns0:colOff>
      <ns0:row>20</ns0:row>
      <ns0:rowOff>0</ns0:rowOff>
    </ns0:to>
    <ns0:sp>
      <ns0:nvSpPr>
        <ns0:cNvPr id="1" name="btn_to_auth" fPublished="0" macro="GoTo_Авторизация"/>
        <ns0:cNvSpPr/>
        <ns0:nvPr/>
      </ns0:nvSpPr>
      <ns0:spPr>
        <ns1:solidFill>
          <ns1:srgbClr val="FFFFFF">
            <ns1:alpha val="1000"/>
          </ns1:srgbClr>
        </ns1:solidFill>
        <ns1:ln>
          <ns1:noFill/>
        </ns1:ln>
        <ns1:prstGeom prst="rect">
          <ns1:avLst/>
        </ns1:prstGeom>
      </ns0:spPr>
      <ns0:txBody>
        <ns1:bodyPr/>
        <ns1:lstStyle/>
        <ns1:p>
          <ns1:pPr/>
          <ns1:endParaRPr/>
        </ns1:p>
      </ns0:txBody>
    </ns0:sp>
    <ns0:clientData/>
  </ns0:twoCellAnchor>
</ns0:wsDr>
</file>

<file path=xl/drawings/drawing3.xml><?xml version="1.0" encoding="utf-8"?>
<ns0:wsDr xmlns:ns0="http://schemas.openxmlformats.org/drawingml/2006/spreadsheetDrawing" xmlns:ns1="http://schemas.openxmlformats.org/drawingml/2006/main">
  <ns0:twoCellAnchor>
    <ns0:from>
      <ns0:col>3</ns0:col>
      <ns0:colOff>0</ns0:colOff>
      <ns0:row>8</ns0:row>
      <ns0:rowOff>0</ns0:rowOff>
    </ns0:from>
    <ns0:to>
      <ns0:col>6</ns0:col>
      <ns0:colOff>0</ns0:colOff>
      <ns0:row>9</ns0:row>
      <ns0:rowOff>0</ns0:rowOff>
    </ns0:to>
    <ns0:sp>
      <ns0:nvSpPr>
        <ns0:cNvPr id="1" name="btn_login" fPublished="0" macro="Авторизация"/>
        <ns0:cNvSpPr/>
        <ns0:nvPr/>
      </ns0:nvSpPr>
      <ns0:spPr>
        <ns1:solidFill>
          <ns1:srgbClr val="FFFFFF">
            <ns1:alpha val="1000"/>
          </ns1:srgbClr>
        </ns1:solidFill>
        <ns1:ln>
          <ns1:noFill/>
        </ns1:ln>
        <ns1:prstGeom prst="rect">
          <ns1:avLst/>
        </ns1:prstGeom>
      </ns0:spPr>
      <ns0:txBody>
        <ns1:bodyPr/>
        <ns1:lstStyle/>
        <ns1:p>
          <ns1:pPr/>
          <ns1:endParaRPr/>
        </ns1:p>
      </ns0:txBody>
    </ns0:sp>
    <ns0:clientData/>
  </ns0:twoCellAnchor>
</ns0:wsDr>
</file>

<file path=xl/drawings/drawing4.xml><?xml version="1.0" encoding="utf-8"?>
<ns0:wsDr xmlns:ns0="http://schemas.openxmlformats.org/drawingml/2006/spreadsheetDrawing" xmlns:ns1="http://schemas.openxmlformats.org/drawingml/2006/main">
  <ns0:twoCellAnchor>
    <ns0:from>
      <ns0:col>1</ns0:col>
      <ns0:colOff>0</ns0:colOff>
      <ns0:row>6</ns0:row>
      <ns0:rowOff>0</ns0:rowOff>
    </ns0:from>
    <ns0:to>
      <ns0:col>4</ns0:col>
      <ns0:colOff>0</ns0:colOff>
      <ns0:row>8</ns0:row>
      <ns0:rowOff>0</ns0:rowOff>
    </ns0:to>
    <ns0:sp>
      <ns0:nvSpPr>
        <ns0:cNvPr id="1" name="btn_rooms" fPublished="0" macro="GoTo_НомернойФонд"/>
        <ns0:cNvSpPr/>
        <ns0:nvPr/>
      </ns0:nvSpPr>
      <ns0:spPr>
        <ns1:solidFill>
          <ns1:srgbClr val="FFFFFF">
            <ns1:alpha val="1000"/>
          </ns1:srgbClr>
        </ns1:solidFill>
        <ns1:ln>
          <ns1:noFill/>
        </ns1:ln>
        <ns1:prstGeom prst="rect">
          <ns1:avLst/>
        </ns1:prstGeom>
      </ns0:spPr>
      <ns0:txBody>
        <ns1:bodyPr/>
        <ns1:lstStyle/>
        <ns1:p>
          <ns1:pPr/>
          <ns1:endParaRPr/>
        </ns1:p>
      </ns0:txBody>
    </ns0:sp>
    <ns0:clientData/>
  </ns0:twoCellAnchor>
  <ns0:twoCellAnchor>
    <ns0:from>
      <ns0:col>6</ns0:col>
      <ns0:colOff>0</ns0:colOff>
      <ns0:row>6</ns0:row>
      <ns0:rowOff>0</ns0:rowOff>
    </ns0:from>
    <ns0:to>
      <ns0:col>9</ns0:col>
      <ns0:colOff>0</ns0:colOff>
      <ns0:row>8</ns0:row>
      <ns0:rowOff>0</ns0:rowOff>
    </ns0:to>
    <ns0:sp>
      <ns0:nvSpPr>
        <ns0:cNvPr id="2" name="btn_guests" fPublished="0" macro="GoTo_Гости"/>
        <ns0:cNvSpPr/>
        <ns0:nvPr/>
      </ns0:nvSpPr>
      <ns0:spPr>
        <ns1:solidFill>
          <ns1:srgbClr val="FFFFFF">
            <ns1:alpha val="1000"/>
          </ns1:srgbClr>
        </ns1:solidFill>
        <ns1:ln>
          <ns1:noFill/>
        </ns1:ln>
        <ns1:prstGeom prst="rect">
          <ns1:avLst/>
        </ns1:prstGeom>
      </ns0:spPr>
      <ns0:txBody>
        <ns1:bodyPr/>
        <ns1:lstStyle/>
        <ns1:p>
          <ns1:pPr/>
          <ns1:endParaRPr/>
        </ns1:p>
      </ns0:txBody>
    </ns0:sp>
    <ns0:clientData/>
  </ns0:twoCellAnchor>
  <ns0:twoCellAnchor>
    <ns0:from>
      <ns0:col>1</ns0:col>
      <ns0:colOff>0</ns0:colOff>
      <ns0:row>9</ns0:row>
      <ns0:rowOff>0</ns0:rowOff>
    </ns0:from>
    <ns0:to>
      <ns0:col>4</ns0:col>
      <ns0:colOff>0</ns0:colOff>
      <ns0:row>11</ns0:row>
      <ns0:rowOff>0</ns0:rowOff>
    </ns0:to>
    <ns0:sp>
      <ns0:nvSpPr>
        <ns0:cNvPr id="3" name="btn_booking" fPublished="0" macro="GoTo_Бронирование"/>
        <ns0:cNvSpPr/>
        <ns0:nvPr/>
      </ns0:nvSpPr>
      <ns0:spPr>
        <ns1:solidFill>
          <ns1:srgbClr val="FFFFFF">
            <ns1:alpha val="1000"/>
          </ns1:srgbClr>
        </ns1:solidFill>
        <ns1:ln>
          <ns1:noFill/>
        </ns1:ln>
        <ns1:prstGeom prst="rect">
          <ns1:avLst/>
        </ns1:prstGeom>
      </ns0:spPr>
      <ns0:txBody>
        <ns1:bodyPr/>
        <ns1:lstStyle/>
        <ns1:p>
          <ns1:pPr/>
          <ns1:endParaRPr/>
        </ns1:p>
      </ns0:txBody>
    </ns0:sp>
    <ns0:clientData/>
  </ns0:twoCellAnchor>
  <ns0:twoCellAnchor>
    <ns0:from>
      <ns0:col>6</ns0:col>
      <ns0:colOff>0</ns0:colOff>
      <ns0:row>9</ns0:row>
      <ns0:rowOff>0</ns0:rowOff>
    </ns0:from>
    <ns0:to>
      <ns0:col>9</ns0:col>
      <ns0:colOff>0</ns0:colOff>
      <ns0:row>11</ns0:row>
      <ns0:rowOff>0</ns0:rowOff>
    </ns0:to>
    <ns0:sp>
      <ns0:nvSpPr>
        <ns0:cNvPr id="4" name="btn_reports" fPublished="0" macro="GoTo_Отчеты"/>
        <ns0:cNvSpPr/>
        <ns0:nvPr/>
      </ns0:nvSpPr>
      <ns0:spPr>
        <ns1:solidFill>
          <ns1:srgbClr val="FFFFFF">
            <ns1:alpha val="1000"/>
          </ns1:srgbClr>
        </ns1:solidFill>
        <ns1:ln>
          <ns1:noFill/>
        </ns1:ln>
        <ns1:prstGeom prst="rect">
          <ns1:avLst/>
        </ns1:prstGeom>
      </ns0:spPr>
      <ns0:txBody>
        <ns1:bodyPr/>
        <ns1:lstStyle/>
        <ns1:p>
          <ns1:pPr/>
          <ns1:endParaRPr/>
        </ns1:p>
      </ns0:txBody>
    </ns0:sp>
    <ns0:clientData/>
  </ns0:twoCellAnchor>
  <ns0:twoCellAnchor>
    <ns0:from>
      <ns0:col>1</ns0:col>
      <ns0:colOff>0</ns0:colOff>
      <ns0:row>15</ns0:row>
      <ns0:rowOff>0</ns0:rowOff>
    </ns0:from>
    <ns0:to>
      <ns0:col>9</ns0:col>
      <ns0:colOff>0</ns0:colOff>
      <ns0:row>17</ns0:row>
      <ns0:rowOff>0</ns0:rowOff>
    </ns0:to>
    <ns0:sp>
      <ns0:nvSpPr>
        <ns0:cNvPr id="5" name="btn_exit" fPublished="0" macro="Выход"/>
        <ns0:cNvSpPr/>
        <ns0:nvPr/>
      </ns0:nvSpPr>
      <ns0:spPr>
        <ns1:solidFill>
          <ns1:srgbClr val="FFFFFF">
            <ns1:alpha val="1000"/>
          </ns1:srgbClr>
        </ns1:solidFill>
        <ns1:ln>
          <ns1:noFill/>
        </ns1:ln>
        <ns1:prstGeom prst="rect">
          <ns1:avLst/>
        </ns1:prstGeom>
      </ns0:spPr>
      <ns0:txBody>
        <ns1:bodyPr/>
        <ns1:lstStyle/>
        <ns1:p>
          <ns1:pPr/>
          <ns1:endParaRPr/>
        </ns1:p>
      </ns0:txBody>
    </ns0:sp>
    <ns0:clientData/>
  </ns0:twoCellAnchor>
</ns0:wsDr>
</file>

<file path=xl/drawings/drawing5.xml><?xml version="1.0" encoding="utf-8"?>
<ns0:wsDr xmlns:ns0="http://schemas.openxmlformats.org/drawingml/2006/spreadsheetDrawing" xmlns:ns1="http://schemas.openxmlformats.org/drawingml/2006/main">
  <ns0:twoCellAnchor>
    <ns0:from>
      <ns0:col>10</ns0:col>
      <ns0:colOff>0</ns0:colOff>
      <ns0:row>0</ns0:row>
      <ns0:rowOff>0</ns0:rowOff>
    </ns0:from>
    <ns0:to>
      <ns0:col>12</ns0:col>
      <ns0:colOff>0</ns0:colOff>
      <ns0:row>1</ns0:row>
      <ns0:rowOff>0</ns0:rowOff>
    </ns0:to>
    <ns0:sp>
      <ns0:nvSpPr>
        <ns0:cNvPr id="1" name="btn_menu_rooms" fPublished="0" macro="GoTo_Меню"/>
        <ns0:cNvSpPr/>
        <ns0:nvPr/>
      </ns0:nvSpPr>
      <ns0:spPr>
        <ns1:solidFill>
          <ns1:srgbClr val="FFFFFF">
            <ns1:alpha val="1000"/>
          </ns1:srgbClr>
        </ns1:solidFill>
        <ns1:ln>
          <ns1:noFill/>
        </ns1:ln>
        <ns1:prstGeom prst="rect">
          <ns1:avLst/>
        </ns1:prstGeom>
      </ns0:spPr>
      <ns0:txBody>
        <ns1:bodyPr/>
        <ns1:lstStyle/>
        <ns1:p>
          <ns1:pPr/>
          <ns1:endParaRPr/>
        </ns1:p>
      </ns0:txBody>
    </ns0:sp>
    <ns0:clientData/>
  </ns0:twoCellAnchor>
</ns0:wsDr>
</file>

<file path=xl/drawings/drawing6.xml><?xml version="1.0" encoding="utf-8"?>
<ns0:wsDr xmlns:ns0="http://schemas.openxmlformats.org/drawingml/2006/spreadsheetDrawing" xmlns:ns1="http://schemas.openxmlformats.org/drawingml/2006/main">
  <ns0:twoCellAnchor>
    <ns0:from>
      <ns0:col>10</ns0:col>
      <ns0:colOff>0</ns0:colOff>
      <ns0:row>0</ns0:row>
      <ns0:rowOff>0</ns0:rowOff>
    </ns0:from>
    <ns0:to>
      <ns0:col>12</ns0:col>
      <ns0:colOff>0</ns0:colOff>
      <ns0:row>1</ns0:row>
      <ns0:rowOff>0</ns0:rowOff>
    </ns0:to>
    <ns0:sp>
      <ns0:nvSpPr>
        <ns0:cNvPr id="1" name="btn_menu_guests" fPublished="0" macro="GoTo_Меню"/>
        <ns0:cNvSpPr/>
        <ns0:nvPr/>
      </ns0:nvSpPr>
      <ns0:spPr>
        <ns1:solidFill>
          <ns1:srgbClr val="FFFFFF">
            <ns1:alpha val="1000"/>
          </ns1:srgbClr>
        </ns1:solidFill>
        <ns1:ln>
          <ns1:noFill/>
        </ns1:ln>
        <ns1:prstGeom prst="rect">
          <ns1:avLst/>
        </ns1:prstGeom>
      </ns0:spPr>
      <ns0:txBody>
        <ns1:bodyPr/>
        <ns1:lstStyle/>
        <ns1:p>
          <ns1:pPr/>
          <ns1:endParaRPr/>
        </ns1:p>
      </ns0:txBody>
    </ns0:sp>
    <ns0:clientData/>
  </ns0:twoCellAnchor>
  <ns0:twoCellAnchor>
    <ns0:from>
      <ns0:col>9</ns0:col>
      <ns0:colOff>0</ns0:colOff>
      <ns0:row>4</ns0:row>
      <ns0:rowOff>0</ns0:rowOff>
    </ns0:from>
    <ns0:to>
      <ns0:col>10</ns0:col>
      <ns0:colOff>0</ns0:colOff>
      <ns0:row>5</ns0:row>
      <ns0:rowOff>0</ns0:rowOff>
    </ns0:to>
    <ns0:sp>
      <ns0:nvSpPr>
        <ns0:cNvPr id="2" name="btn_add_guest" fPublished="0" macro="ДобавитьГостя"/>
        <ns0:cNvSpPr/>
        <ns0:nvPr/>
      </ns0:nvSpPr>
      <ns0:spPr>
        <ns1:solidFill>
          <ns1:srgbClr val="FFFFFF">
            <ns1:alpha val="1000"/>
          </ns1:srgbClr>
        </ns1:solidFill>
        <ns1:ln>
          <ns1:noFill/>
        </ns1:ln>
        <ns1:prstGeom prst="rect">
          <ns1:avLst/>
        </ns1:prstGeom>
      </ns0:spPr>
      <ns0:txBody>
        <ns1:bodyPr/>
        <ns1:lstStyle/>
        <ns1:p>
          <ns1:pPr/>
          <ns1:endParaRPr/>
        </ns1:p>
      </ns0:txBody>
    </ns0:sp>
    <ns0:clientData/>
  </ns0:twoCellAnchor>
</ns0:wsDr>
</file>

<file path=xl/drawings/drawing7.xml><?xml version="1.0" encoding="utf-8"?>
<ns0:wsDr xmlns:ns0="http://schemas.openxmlformats.org/drawingml/2006/spreadsheetDrawing" xmlns:ns1="http://schemas.openxmlformats.org/drawingml/2006/main">
  <ns0:twoCellAnchor>
    <ns0:from>
      <ns0:col>13</ns0:col>
      <ns0:colOff>0</ns0:colOff>
      <ns0:row>0</ns0:row>
      <ns0:rowOff>0</ns0:rowOff>
    </ns0:from>
    <ns0:to>
      <ns0:col>15</ns0:col>
      <ns0:colOff>0</ns0:colOff>
      <ns0:row>1</ns0:row>
      <ns0:rowOff>0</ns0:rowOff>
    </ns0:to>
    <ns0:sp>
      <ns0:nvSpPr>
        <ns0:cNvPr id="1" name="btn_menu_booking" fPublished="0" macro="GoTo_Меню"/>
        <ns0:cNvSpPr/>
        <ns0:nvPr/>
      </ns0:nvSpPr>
      <ns0:spPr>
        <ns1:solidFill>
          <ns1:srgbClr val="FFFFFF">
            <ns1:alpha val="1000"/>
          </ns1:srgbClr>
        </ns1:solidFill>
        <ns1:ln>
          <ns1:noFill/>
        </ns1:ln>
        <ns1:prstGeom prst="rect">
          <ns1:avLst/>
        </ns1:prstGeom>
      </ns0:spPr>
      <ns0:txBody>
        <ns1:bodyPr/>
        <ns1:lstStyle/>
        <ns1:p>
          <ns1:pPr/>
          <ns1:endParaRPr/>
        </ns1:p>
      </ns0:txBody>
    </ns0:sp>
    <ns0:clientData/>
  </ns0:twoCellAnchor>
  <ns0:twoCellAnchor>
    <ns0:from>
      <ns0:col>13</ns0:col>
      <ns0:colOff>0</ns0:colOff>
      <ns0:row>4</ns0:row>
      <ns0:rowOff>0</ns0:rowOff>
    </ns0:from>
    <ns0:to>
      <ns0:col>14</ns0:col>
      <ns0:colOff>0</ns0:colOff>
      <ns0:row>5</ns0:row>
      <ns0:rowOff>0</ns0:rowOff>
    </ns0:to>
    <ns0:sp>
      <ns0:nvSpPr>
        <ns0:cNvPr id="2" name="btn_add_booking" fPublished="0" macro="ДобавитьБронь"/>
        <ns0:cNvSpPr/>
        <ns0:nvPr/>
      </ns0:nvSpPr>
      <ns0:spPr>
        <ns1:solidFill>
          <ns1:srgbClr val="FFFFFF">
            <ns1:alpha val="1000"/>
          </ns1:srgbClr>
        </ns1:solidFill>
        <ns1:ln>
          <ns1:noFill/>
        </ns1:ln>
        <ns1:prstGeom prst="rect">
          <ns1:avLst/>
        </ns1:prstGeom>
      </ns0:spPr>
      <ns0:txBody>
        <ns1:bodyPr/>
        <ns1:lstStyle/>
        <ns1:p>
          <ns1:pPr/>
          <ns1:endParaRPr/>
        </ns1:p>
      </ns0:txBody>
    </ns0:sp>
    <ns0:clientData/>
  </ns0:twoCellAnchor>
  <ns0:twoCellAnchor>
    <ns0:from>
      <ns0:col>5</ns0:col>
      <ns0:colOff>0</ns0:colOff>
      <ns0:row>7</ns0:row>
      <ns0:rowOff>0</ns0:rowOff>
    </ns0:from>
    <ns0:to>
      <ns0:col>6</ns0:col>
      <ns0:colOff>0</ns0:colOff>
      <ns0:row>8</ns0:row>
      <ns0:rowOff>0</ns0:rowOff>
    </ns0:to>
    <ns0:sp>
      <ns0:nvSpPr>
        <ns0:cNvPr id="3" name="btn_sort_booking" fPublished="0" macro="СортировкаБронирований"/>
        <ns0:cNvSpPr/>
        <ns0:nvPr/>
      </ns0:nvSpPr>
      <ns0:spPr>
        <ns1:solidFill>
          <ns1:srgbClr val="FFFFFF">
            <ns1:alpha val="1000"/>
          </ns1:srgbClr>
        </ns1:solidFill>
        <ns1:ln>
          <ns1:noFill/>
        </ns1:ln>
        <ns1:prstGeom prst="rect">
          <ns1:avLst/>
        </ns1:prstGeom>
      </ns0:spPr>
      <ns0:txBody>
        <ns1:bodyPr/>
        <ns1:lstStyle/>
        <ns1:p>
          <ns1:pPr/>
          <ns1:endParaRPr/>
        </ns1:p>
      </ns0:txBody>
    </ns0:sp>
    <ns0:clientData/>
  </ns0:twoCellAnchor>
  <ns0:twoCellAnchor>
    <ns0:from>
      <ns0:col>10</ns0:col>
      <ns0:colOff>0</ns0:colOff>
      <ns0:row>7</ns0:row>
      <ns0:rowOff>0</ns0:rowOff>
    </ns0:from>
    <ns0:to>
      <ns0:col>11</ns0:col>
      <ns0:colOff>0</ns0:colOff>
      <ns0:row>8</ns0:row>
      <ns0:rowOff>0</ns0:rowOff>
    </ns0:to>
    <ns0:sp>
      <ns0:nvSpPr>
        <ns0:cNvPr id="4" name="btn_find_booking" fPublished="0" macro="НайтиЗапись"/>
        <ns0:cNvSpPr/>
        <ns0:nvPr/>
      </ns0:nvSpPr>
      <ns0:spPr>
        <ns1:solidFill>
          <ns1:srgbClr val="FFFFFF">
            <ns1:alpha val="1000"/>
          </ns1:srgbClr>
        </ns1:solidFill>
        <ns1:ln>
          <ns1:noFill/>
        </ns1:ln>
        <ns1:prstGeom prst="rect">
          <ns1:avLst/>
        </ns1:prstGeom>
      </ns0:spPr>
      <ns0:txBody>
        <ns1:bodyPr/>
        <ns1:lstStyle/>
        <ns1:p>
          <ns1:pPr/>
          <ns1:endParaRPr/>
        </ns1:p>
      </ns0:txBody>
    </ns0:sp>
    <ns0:clientData/>
  </ns0:twoCellAnchor>
  <ns0:twoCellAnchor>
    <ns0:from>
      <ns0:col>11</ns0:col>
      <ns0:colOff>0</ns0:colOff>
      <ns0:row>7</ns0:row>
      <ns0:rowOff>0</ns0:rowOff>
    </ns0:from>
    <ns0:to>
      <ns0:col>12</ns0:col>
      <ns0:colOff>0</ns0:colOff>
      <ns0:row>8</ns0:row>
      <ns0:rowOff>0</ns0:rowOff>
    </ns0:to>
    <ns0:sp>
      <ns0:nvSpPr>
        <ns0:cNvPr id="5" name="btn_all_booking" fPublished="0" macro="ПоказатьВсе"/>
        <ns0:cNvSpPr/>
        <ns0:nvPr/>
      </ns0:nvSpPr>
      <ns0:spPr>
        <ns1:solidFill>
          <ns1:srgbClr val="FFFFFF">
            <ns1:alpha val="1000"/>
          </ns1:srgbClr>
        </ns1:solidFill>
        <ns1:ln>
          <ns1:noFill/>
        </ns1:ln>
        <ns1:prstGeom prst="rect">
          <ns1:avLst/>
        </ns1:prstGeom>
      </ns0:spPr>
      <ns0:txBody>
        <ns1:bodyPr/>
        <ns1:lstStyle/>
        <ns1:p>
          <ns1:pPr/>
          <ns1:endParaRPr/>
        </ns1:p>
      </ns0:txBody>
    </ns0:sp>
    <ns0:clientData/>
  </ns0:twoCellAnchor>
</ns0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'1.0' encoding='utf-8'?>
<ns0:Relationships xmlns:ns0="http://schemas.openxmlformats.org/package/2006/relationships"><ns0:Relationship Id="rId1" Type="http://schemas.openxmlformats.org/officeDocument/2006/relationships/drawing" Target="../drawings/drawing2.xml" /></ns0:Relationships>
</file>

<file path=xl/worksheets/_rels/sheet2.xml.rels><?xml version='1.0' encoding='utf-8'?>
<ns0:Relationships xmlns:ns0="http://schemas.openxmlformats.org/package/2006/relationships"><ns0:Relationship Id="rId1" Type="http://schemas.openxmlformats.org/officeDocument/2006/relationships/drawing" Target="../drawings/drawing3.xml" /></ns0:Relationships>
</file>

<file path=xl/worksheets/_rels/sheet3.xml.rels><?xml version='1.0' encoding='utf-8'?>
<ns0:Relationships xmlns:ns0="http://schemas.openxmlformats.org/package/2006/relationships"><ns0:Relationship Id="rId1" Type="http://schemas.openxmlformats.org/officeDocument/2006/relationships/drawing" Target="../drawings/drawing4.xml" /></ns0:Relationships>
</file>

<file path=xl/worksheets/_rels/sheet4.xml.rels><?xml version='1.0' encoding='utf-8'?>
<ns0:Relationships xmlns:ns0="http://schemas.openxmlformats.org/package/2006/relationships"><ns0:Relationship Id="rId1" Type="http://schemas.openxmlformats.org/officeDocument/2006/relationships/drawing" Target="../drawings/drawing5.xml" /></ns0:Relationships>
</file>

<file path=xl/worksheets/_rels/sheet5.xml.rels><?xml version='1.0' encoding='utf-8'?>
<ns0:Relationships xmlns:ns0="http://schemas.openxmlformats.org/package/2006/relationships"><ns0:Relationship Id="rId1" Type="http://schemas.openxmlformats.org/officeDocument/2006/relationships/drawing" Target="../drawings/drawing6.xml" /></ns0:Relationships>
</file>

<file path=xl/worksheets/_rels/sheet6.xml.rels><?xml version='1.0' encoding='utf-8'?>
<ns0:Relationships xmlns:ns0="http://schemas.openxmlformats.org/package/2006/relationships"><ns0:Relationship Id="rId1" Type="http://schemas.openxmlformats.org/officeDocument/2006/relationships/drawing" Target="../drawings/drawing7.xml" /></ns0:Relationships>
</file>

<file path=xl/worksheets/_rels/sheet7.xml.rels><?xml version='1.0' encoding='utf-8'?>
<ns0:Relationships xmlns:ns0="http://schemas.openxmlformats.org/package/2006/relationships"><ns0:Relationship Id="rId2" Type="http://schemas.openxmlformats.org/officeDocument/2006/relationships/drawing" Target="../drawings/drawing1.xml" />
</ns0:Relationships>
</file>

<file path=xl/worksheets/sheet1.xml><?xml version="1.0" encoding="utf-8"?>
<ns0:worksheet xmlns:ns0="http://schemas.openxmlformats.org/spreadsheetml/2006/main" xmlns:ns1="http://schemas.openxmlformats.org/officeDocument/2006/relationships">
  <ns0:sheetPr filterMode="false">
    <ns0:tabColor rgb="FF1B3A5C"/>
    <ns0:pageSetUpPr fitToPage="false"/>
  </ns0:sheetPr>
  <ns0:dimension ref="A1:N39"/>
  <ns0:sheetViews>
    <ns0: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ns0:selection pane="topLeft" activeCell="A1" activeCellId="0" sqref="A1"/>
    </ns0:sheetView>
  </ns0:sheetViews>
  <ns0:sheetFormatPr defaultColWidth="8.6796875" defaultRowHeight="15" zeroHeight="false" outlineLevelRow="0" outlineLevelCol="0"/>
  <ns0:cols>
    <ns0:col collapsed="false" customWidth="true" hidden="false" outlineLevel="0" max="14" min="1" style="0" width="12"/>
  </ns0:cols>
  <ns0:sheetData>
    <ns0:row r="1" customFormat="false" ht="15" hidden="false" customHeight="false" outlineLevel="0" collapsed="false">
      <ns0:c r="A1" s="1"/>
      <ns0:c r="B1" s="1"/>
      <ns0:c r="C1" s="1"/>
      <ns0:c r="D1" s="1"/>
      <ns0:c r="E1" s="1"/>
      <ns0:c r="F1" s="1"/>
      <ns0:c r="G1" s="1"/>
      <ns0:c r="H1" s="1"/>
      <ns0:c r="I1" s="1"/>
      <ns0:c r="J1" s="1"/>
      <ns0:c r="K1" s="1"/>
      <ns0:c r="L1" s="1"/>
      <ns0:c r="M1" s="1"/>
      <ns0:c r="N1" s="1"/>
    </ns0:row>
    <ns0:row r="2" customFormat="false" ht="15" hidden="false" customHeight="false" outlineLevel="0" collapsed="false">
      <ns0:c r="A2" s="1"/>
      <ns0:c r="B2" s="1"/>
      <ns0:c r="C2" s="1"/>
      <ns0:c r="D2" s="1"/>
      <ns0:c r="E2" s="1"/>
      <ns0:c r="F2" s="1"/>
      <ns0:c r="G2" s="1"/>
      <ns0:c r="H2" s="1"/>
      <ns0:c r="I2" s="1"/>
      <ns0:c r="J2" s="1"/>
      <ns0:c r="K2" s="1"/>
      <ns0:c r="L2" s="1"/>
      <ns0:c r="M2" s="1"/>
      <ns0:c r="N2" s="1"/>
    </ns0:row>
    <ns0:row r="3" customFormat="false" ht="15" hidden="false" customHeight="false" outlineLevel="0" collapsed="false">
      <ns0:c r="A3" s="1"/>
      <ns0:c r="B3" s="1"/>
      <ns0:c r="C3" s="1"/>
      <ns0:c r="D3" s="1"/>
      <ns0:c r="E3" s="1"/>
      <ns0:c r="F3" s="1"/>
      <ns0:c r="G3" s="1"/>
      <ns0:c r="H3" s="1"/>
      <ns0:c r="I3" s="1"/>
      <ns0:c r="J3" s="1"/>
      <ns0:c r="K3" s="1"/>
      <ns0:c r="L3" s="1"/>
      <ns0:c r="M3" s="1"/>
      <ns0:c r="N3" s="1"/>
    </ns0:row>
    <ns0:row r="4" customFormat="false" ht="15" hidden="false" customHeight="false" outlineLevel="0" collapsed="false">
      <ns0:c r="A4" s="1"/>
      <ns0:c r="B4" s="1"/>
      <ns0:c r="C4" s="1"/>
      <ns0:c r="D4" s="1"/>
      <ns0:c r="E4" s="1"/>
      <ns0:c r="F4" s="1"/>
      <ns0:c r="G4" s="1"/>
      <ns0:c r="H4" s="1"/>
      <ns0:c r="I4" s="1"/>
      <ns0:c r="J4" s="1"/>
      <ns0:c r="K4" s="1"/>
      <ns0:c r="L4" s="1"/>
      <ns0:c r="M4" s="1"/>
      <ns0:c r="N4" s="1"/>
    </ns0:row>
    <ns0:row r="5" customFormat="false" ht="15" hidden="false" customHeight="false" outlineLevel="0" collapsed="false">
      <ns0:c r="A5" s="1"/>
      <ns0:c r="B5" s="1"/>
      <ns0:c r="C5" s="1"/>
      <ns0:c r="D5" s="1"/>
      <ns0:c r="E5" s="1"/>
      <ns0:c r="F5" s="1"/>
      <ns0:c r="G5" s="1"/>
      <ns0:c r="H5" s="1"/>
      <ns0:c r="I5" s="1"/>
      <ns0:c r="J5" s="1"/>
      <ns0:c r="K5" s="1"/>
      <ns0:c r="L5" s="1"/>
      <ns0:c r="M5" s="1"/>
      <ns0:c r="N5" s="1"/>
    </ns0:row>
    <ns0:row r="6" customFormat="false" ht="15" hidden="false" customHeight="false" outlineLevel="0" collapsed="false">
      <ns0:c r="A6" s="1"/>
      <ns0:c r="B6" s="1"/>
      <ns0:c r="C6" s="1"/>
      <ns0:c r="D6" s="1"/>
      <ns0:c r="E6" s="1"/>
      <ns0:c r="F6" s="1"/>
      <ns0:c r="G6" s="1"/>
      <ns0:c r="H6" s="1"/>
      <ns0:c r="I6" s="1"/>
      <ns0:c r="J6" s="1"/>
      <ns0:c r="K6" s="1"/>
      <ns0:c r="L6" s="1"/>
      <ns0:c r="M6" s="1"/>
      <ns0:c r="N6" s="1"/>
    </ns0:row>
    <ns0:row r="7" customFormat="false" ht="15" hidden="false" customHeight="false" outlineLevel="0" collapsed="false">
      <ns0:c r="A7" s="1"/>
      <ns0:c r="B7" s="1"/>
      <ns0:c r="C7" s="1"/>
      <ns0:c r="D7" s="1"/>
      <ns0:c r="E7" s="1"/>
      <ns0:c r="F7" s="1"/>
      <ns0:c r="G7" s="1"/>
      <ns0:c r="H7" s="1"/>
      <ns0:c r="I7" s="1"/>
      <ns0:c r="J7" s="1"/>
      <ns0:c r="K7" s="1"/>
      <ns0:c r="L7" s="1"/>
      <ns0:c r="M7" s="1"/>
      <ns0:c r="N7" s="1"/>
    </ns0:row>
    <ns0:row r="8" customFormat="false" ht="15" hidden="false" customHeight="false" outlineLevel="0" collapsed="false">
      <ns0:c r="A8" s="1"/>
      <ns0:c r="B8" s="1"/>
      <ns0:c r="C8" s="1"/>
      <ns0:c r="D8" s="1"/>
      <ns0:c r="E8" s="1"/>
      <ns0:c r="F8" s="1"/>
      <ns0:c r="G8" s="1"/>
      <ns0:c r="H8" s="1"/>
      <ns0:c r="I8" s="1"/>
      <ns0:c r="J8" s="1"/>
      <ns0:c r="K8" s="1"/>
      <ns0:c r="L8" s="1"/>
      <ns0:c r="M8" s="1"/>
      <ns0:c r="N8" s="1"/>
    </ns0:row>
    <ns0:row r="9" customFormat="false" ht="15" hidden="false" customHeight="false" outlineLevel="0" collapsed="false">
      <ns0:c r="A9" s="1"/>
      <ns0:c r="B9" s="1"/>
      <ns0:c r="C9" s="1"/>
      <ns0:c r="D9" s="1"/>
      <ns0:c r="E9" s="1"/>
      <ns0:c r="F9" s="1"/>
      <ns0:c r="G9" s="1"/>
      <ns0:c r="H9" s="1"/>
      <ns0:c r="I9" s="1"/>
      <ns0:c r="J9" s="1"/>
      <ns0:c r="K9" s="1"/>
      <ns0:c r="L9" s="1"/>
      <ns0:c r="M9" s="1"/>
      <ns0:c r="N9" s="1"/>
    </ns0:row>
    <ns0:row r="10" customFormat="false" ht="22.05" hidden="false" customHeight="true" outlineLevel="0" collapsed="false">
      <ns0:c r="A10" s="1"/>
      <ns0:c r="B10" s="2" t="s">
        <ns0:v>0</ns0:v>
      </ns0:c>
      <ns0:c r="C10" s="2"/>
      <ns0:c r="D10" s="2"/>
      <ns0:c r="E10" s="2"/>
      <ns0:c r="F10" s="2"/>
      <ns0:c r="G10" s="2"/>
      <ns0:c r="H10" s="2"/>
      <ns0:c r="I10" s="2"/>
      <ns0:c r="J10" s="2"/>
      <ns0:c r="K10" s="2"/>
      <ns0:c r="L10" s="2"/>
      <ns0:c r="M10" s="2"/>
      <ns0:c r="N10" s="2"/>
    </ns0:row>
    <ns0:row r="11" customFormat="false" ht="15" hidden="false" customHeight="false" outlineLevel="0" collapsed="false">
      <ns0:c r="A11" s="1"/>
      <ns0:c r="B11" s="1"/>
      <ns0:c r="C11" s="1"/>
      <ns0:c r="D11" s="1"/>
      <ns0:c r="E11" s="1"/>
      <ns0:c r="F11" s="1"/>
      <ns0:c r="G11" s="1"/>
      <ns0:c r="H11" s="1"/>
      <ns0:c r="I11" s="1"/>
      <ns0:c r="J11" s="1"/>
      <ns0:c r="K11" s="1"/>
      <ns0:c r="L11" s="1"/>
      <ns0:c r="M11" s="1"/>
      <ns0:c r="N11" s="1"/>
    </ns0:row>
    <ns0:row r="12" customFormat="false" ht="43.3" hidden="false" customHeight="true" outlineLevel="0" collapsed="false">
      <ns0:c r="A12" s="1"/>
      <ns0:c r="B12" s="3" t="s">
        <ns0:v>1</ns0:v>
      </ns0:c>
      <ns0:c r="C12" s="3"/>
      <ns0:c r="D12" s="3"/>
      <ns0:c r="E12" s="3"/>
      <ns0:c r="F12" s="3"/>
      <ns0:c r="G12" s="3"/>
      <ns0:c r="H12" s="3"/>
      <ns0:c r="I12" s="3"/>
      <ns0:c r="J12" s="3"/>
      <ns0:c r="K12" s="3"/>
      <ns0:c r="L12" s="3"/>
      <ns0:c r="M12" s="3"/>
      <ns0:c r="N12" s="3"/>
    </ns0:row>
    <ns0:row r="13" customFormat="false" ht="15" hidden="false" customHeight="false" outlineLevel="0" collapsed="false">
      <ns0:c r="A13" s="1"/>
      <ns0:c r="B13" s="1"/>
      <ns0:c r="C13" s="1"/>
      <ns0:c r="D13" s="1"/>
      <ns0:c r="E13" s="1"/>
      <ns0:c r="F13" s="1"/>
      <ns0:c r="G13" s="1"/>
      <ns0:c r="H13" s="1"/>
      <ns0:c r="I13" s="1"/>
      <ns0:c r="J13" s="1"/>
      <ns0:c r="K13" s="1"/>
      <ns0:c r="L13" s="1"/>
      <ns0:c r="M13" s="1"/>
      <ns0:c r="N13" s="1"/>
    </ns0:row>
    <ns0:row r="14" customFormat="false" ht="19.7" hidden="false" customHeight="true" outlineLevel="0" collapsed="false">
      <ns0:c r="A14" s="1"/>
      <ns0:c r="B14" s="4" t="s">
        <ns0:v>2</ns0:v>
      </ns0:c>
      <ns0:c r="C14" s="4"/>
      <ns0:c r="D14" s="4"/>
      <ns0:c r="E14" s="4"/>
      <ns0:c r="F14" s="4"/>
      <ns0:c r="G14" s="4"/>
      <ns0:c r="H14" s="4"/>
      <ns0:c r="I14" s="4"/>
      <ns0:c r="J14" s="4"/>
      <ns0:c r="K14" s="4"/>
      <ns0:c r="L14" s="4"/>
      <ns0:c r="M14" s="4"/>
      <ns0:c r="N14" s="4"/>
    </ns0:row>
    <ns0:row r="15" customFormat="false" ht="15" hidden="false" customHeight="false" outlineLevel="0" collapsed="false">
      <ns0:c r="A15" s="1"/>
      <ns0:c r="B15" s="1"/>
      <ns0:c r="C15" s="1"/>
      <ns0:c r="D15" s="1"/>
      <ns0:c r="E15" s="1"/>
      <ns0:c r="F15" s="1"/>
      <ns0:c r="G15" s="1"/>
      <ns0:c r="H15" s="1"/>
      <ns0:c r="I15" s="1"/>
      <ns0:c r="J15" s="1"/>
      <ns0:c r="K15" s="1"/>
      <ns0:c r="L15" s="1"/>
      <ns0:c r="M15" s="1"/>
      <ns0:c r="N15" s="1"/>
    </ns0:row>
    <ns0:row r="16" customFormat="false" ht="15" hidden="false" customHeight="true" outlineLevel="0" collapsed="false">
      <ns0:c r="A16" s="1"/>
      <ns0:c r="B16" s="5" t="s">
        <ns0:v>3</ns0:v>
      </ns0:c>
      <ns0:c r="C16" s="5"/>
      <ns0:c r="D16" s="5"/>
      <ns0:c r="E16" s="5"/>
      <ns0:c r="F16" s="5"/>
      <ns0:c r="G16" s="5"/>
      <ns0:c r="H16" s="5"/>
      <ns0:c r="I16" s="5"/>
      <ns0:c r="J16" s="5"/>
      <ns0:c r="K16" s="5"/>
      <ns0:c r="L16" s="5"/>
      <ns0:c r="M16" s="5"/>
      <ns0:c r="N16" s="5"/>
    </ns0:row>
    <ns0:row r="17" customFormat="false" ht="15" hidden="false" customHeight="false" outlineLevel="0" collapsed="false">
      <ns0:c r="A17" s="1"/>
      <ns0:c r="B17" s="1"/>
      <ns0:c r="C17" s="1"/>
      <ns0:c r="D17" s="1"/>
      <ns0:c r="E17" s="1"/>
      <ns0:c r="F17" s="1"/>
      <ns0:c r="G17" s="1"/>
      <ns0:c r="H17" s="1"/>
      <ns0:c r="I17" s="1"/>
      <ns0:c r="J17" s="1"/>
      <ns0:c r="K17" s="1"/>
      <ns0:c r="L17" s="1"/>
      <ns0:c r="M17" s="1"/>
      <ns0:c r="N17" s="1"/>
    </ns0:row>
    <ns0:row r="18" customFormat="false" ht="15" hidden="false" customHeight="false" outlineLevel="0" collapsed="false">
      <ns0:c r="A18" s="1"/>
      <ns0:c r="B18" s="1"/>
      <ns0:c r="C18" s="1"/>
      <ns0:c r="D18" s="1"/>
      <ns0:c r="E18" s="1"/>
      <ns0:c r="F18" s="1"/>
      <ns0:c r="G18" s="1"/>
      <ns0:c r="H18" s="1"/>
      <ns0:c r="I18" s="1"/>
      <ns0:c r="J18" s="1"/>
      <ns0:c r="K18" s="1"/>
      <ns0:c r="L18" s="1"/>
      <ns0:c r="M18" s="1"/>
      <ns0:c r="N18" s="1"/>
    </ns0:row>
    <ns0:row r="19" customFormat="false" ht="15" hidden="false" customHeight="false" outlineLevel="0" collapsed="false">
      <ns0:c r="A19" s="1"/>
      <ns0:c r="B19" s="1"/>
      <ns0:c r="C19" s="1"/>
      <ns0:c r="D19" s="1"/>
      <ns0:c r="E19" s="1"/>
      <ns0:c r="F19" s="1"/>
      <ns0:c r="G19" s="1"/>
      <ns0:c r="H19" s="1"/>
      <ns0:c r="I19" s="1"/>
      <ns0:c r="J19" s="1"/>
      <ns0:c r="K19" s="1"/>
      <ns0:c r="L19" s="1"/>
      <ns0:c r="M19" s="1"/>
      <ns0:c r="N19" s="1"/>
    </ns0:row>
    <ns0:row r="20" customFormat="false" ht="19.7" hidden="false" customHeight="true" outlineLevel="0" collapsed="false">
      <ns0:c r="A20" s="1"/>
      <ns0:c r="B20" s="6" t="s">
        <ns0:v>4</ns0:v>
      </ns0:c>
      <ns0:c r="C20" s="6"/>
      <ns0:c r="D20" s="6"/>
      <ns0:c r="E20" s="6"/>
      <ns0:c r="F20" s="6"/>
      <ns0:c r="G20" s="6"/>
      <ns0:c r="H20" s="6"/>
      <ns0:c r="I20" s="6"/>
      <ns0:c r="J20" s="6"/>
      <ns0:c r="K20" s="6"/>
      <ns0:c r="L20" s="6"/>
      <ns0:c r="M20" s="6"/>
      <ns0:c r="N20" s="6"/>
    </ns0:row>
    <ns0:row r="21" customFormat="false" ht="15" hidden="false" customHeight="false" outlineLevel="0" collapsed="false">
      <ns0:c r="A21" s="1"/>
      <ns0:c r="B21" s="1"/>
      <ns0:c r="C21" s="1"/>
      <ns0:c r="D21" s="1"/>
      <ns0:c r="E21" s="1"/>
      <ns0:c r="F21" s="1"/>
      <ns0:c r="G21" s="1"/>
      <ns0:c r="H21" s="1"/>
      <ns0:c r="I21" s="1"/>
      <ns0:c r="J21" s="1"/>
      <ns0:c r="K21" s="1"/>
      <ns0:c r="L21" s="1"/>
      <ns0:c r="M21" s="1"/>
      <ns0:c r="N21" s="1"/>
    </ns0:row>
    <ns0:row r="22" customFormat="false" ht="15" hidden="false" customHeight="true" outlineLevel="0" collapsed="false">
      <ns0:c r="A22" s="1"/>
      <ns0:c r="B22" s="7" t="s">
        <ns0:v>5</ns0:v>
      </ns0:c>
      <ns0:c r="C22" s="7"/>
      <ns0:c r="D22" s="7"/>
      <ns0:c r="E22" s="7"/>
      <ns0:c r="F22" s="7"/>
      <ns0:c r="G22" s="7"/>
      <ns0:c r="H22" s="7"/>
      <ns0:c r="I22" s="7"/>
      <ns0:c r="J22" s="7"/>
      <ns0:c r="K22" s="7"/>
      <ns0:c r="L22" s="7"/>
      <ns0:c r="M22" s="7"/>
      <ns0:c r="N22" s="7"/>
    </ns0:row>
    <ns0:row r="23" customFormat="false" ht="15" hidden="false" customHeight="false" outlineLevel="0" collapsed="false">
      <ns0:c r="A23" s="1"/>
      <ns0:c r="B23" s="1"/>
      <ns0:c r="C23" s="1"/>
      <ns0:c r="D23" s="1"/>
      <ns0:c r="E23" s="1"/>
      <ns0:c r="F23" s="1"/>
      <ns0:c r="G23" s="1"/>
      <ns0:c r="H23" s="1"/>
      <ns0:c r="I23" s="1"/>
      <ns0:c r="J23" s="1"/>
      <ns0:c r="K23" s="1"/>
      <ns0:c r="L23" s="1"/>
      <ns0:c r="M23" s="1"/>
      <ns0:c r="N23" s="1"/>
    </ns0:row>
    <ns0:row r="24" customFormat="false" ht="15" hidden="false" customHeight="false" outlineLevel="0" collapsed="false">
      <ns0:c r="A24" s="1"/>
      <ns0:c r="B24" s="1"/>
      <ns0:c r="C24" s="1"/>
      <ns0:c r="D24" s="1"/>
      <ns0:c r="E24" s="1"/>
      <ns0:c r="F24" s="1"/>
      <ns0:c r="G24" s="1"/>
      <ns0:c r="H24" s="1"/>
      <ns0:c r="I24" s="1"/>
      <ns0:c r="J24" s="1"/>
      <ns0:c r="K24" s="1"/>
      <ns0:c r="L24" s="1"/>
      <ns0:c r="M24" s="1"/>
      <ns0:c r="N24" s="1"/>
    </ns0:row>
    <ns0:row r="25" customFormat="false" ht="15" hidden="false" customHeight="false" outlineLevel="0" collapsed="false">
      <ns0:c r="A25" s="1"/>
      <ns0:c r="B25" s="1"/>
      <ns0:c r="C25" s="1"/>
      <ns0:c r="D25" s="1"/>
      <ns0:c r="E25" s="1"/>
      <ns0:c r="F25" s="1"/>
      <ns0:c r="G25" s="1"/>
      <ns0:c r="H25" s="1"/>
      <ns0:c r="I25" s="1"/>
      <ns0:c r="J25" s="1"/>
      <ns0:c r="K25" s="1"/>
      <ns0:c r="L25" s="1"/>
      <ns0:c r="M25" s="1"/>
      <ns0:c r="N25" s="1"/>
    </ns0:row>
    <ns0:row r="26" customFormat="false" ht="15" hidden="false" customHeight="false" outlineLevel="0" collapsed="false">
      <ns0:c r="A26" s="1"/>
      <ns0:c r="B26" s="1"/>
      <ns0:c r="C26" s="1"/>
      <ns0:c r="D26" s="1"/>
      <ns0:c r="E26" s="1"/>
      <ns0:c r="F26" s="1"/>
      <ns0:c r="G26" s="1"/>
      <ns0:c r="H26" s="1"/>
      <ns0:c r="I26" s="1"/>
      <ns0:c r="J26" s="1"/>
      <ns0:c r="K26" s="1"/>
      <ns0:c r="L26" s="1"/>
      <ns0:c r="M26" s="1"/>
      <ns0:c r="N26" s="1"/>
    </ns0:row>
    <ns0:row r="27" customFormat="false" ht="15" hidden="false" customHeight="false" outlineLevel="0" collapsed="false">
      <ns0:c r="A27" s="1"/>
      <ns0:c r="B27" s="1"/>
      <ns0:c r="C27" s="1"/>
      <ns0:c r="D27" s="1"/>
      <ns0:c r="E27" s="1"/>
      <ns0:c r="F27" s="1"/>
      <ns0:c r="G27" s="1"/>
      <ns0:c r="H27" s="1"/>
      <ns0:c r="I27" s="1"/>
      <ns0:c r="J27" s="1"/>
      <ns0:c r="K27" s="1"/>
      <ns0:c r="L27" s="1"/>
      <ns0:c r="M27" s="1"/>
      <ns0:c r="N27" s="1"/>
    </ns0:row>
    <ns0:row r="28" customFormat="false" ht="15" hidden="false" customHeight="false" outlineLevel="0" collapsed="false">
      <ns0:c r="A28" s="1"/>
      <ns0:c r="B28" s="1"/>
      <ns0:c r="C28" s="1"/>
      <ns0:c r="D28" s="1"/>
      <ns0:c r="E28" s="1"/>
      <ns0:c r="F28" s="1"/>
      <ns0:c r="G28" s="1"/>
      <ns0:c r="H28" s="1"/>
      <ns0:c r="I28" s="1"/>
      <ns0:c r="J28" s="1"/>
      <ns0:c r="K28" s="1"/>
      <ns0:c r="L28" s="1"/>
      <ns0:c r="M28" s="1"/>
      <ns0:c r="N28" s="1"/>
    </ns0:row>
    <ns0:row r="29" customFormat="false" ht="15" hidden="false" customHeight="false" outlineLevel="0" collapsed="false">
      <ns0:c r="A29" s="1"/>
      <ns0:c r="B29" s="1"/>
      <ns0:c r="C29" s="1"/>
      <ns0:c r="D29" s="1"/>
      <ns0:c r="E29" s="1"/>
      <ns0:c r="F29" s="1"/>
      <ns0:c r="G29" s="1"/>
      <ns0:c r="H29" s="1"/>
      <ns0:c r="I29" s="1"/>
      <ns0:c r="J29" s="1"/>
      <ns0:c r="K29" s="1"/>
      <ns0:c r="L29" s="1"/>
      <ns0:c r="M29" s="1"/>
      <ns0:c r="N29" s="1"/>
    </ns0:row>
    <ns0:row r="30" customFormat="false" ht="15" hidden="false" customHeight="false" outlineLevel="0" collapsed="false">
      <ns0:c r="A30" s="1"/>
      <ns0:c r="B30" s="1"/>
      <ns0:c r="C30" s="1"/>
      <ns0:c r="D30" s="1"/>
      <ns0:c r="E30" s="1"/>
      <ns0:c r="F30" s="1"/>
      <ns0:c r="G30" s="1"/>
      <ns0:c r="H30" s="1"/>
      <ns0:c r="I30" s="1"/>
      <ns0:c r="J30" s="1"/>
      <ns0:c r="K30" s="1"/>
      <ns0:c r="L30" s="1"/>
      <ns0:c r="M30" s="1"/>
      <ns0:c r="N30" s="1"/>
    </ns0:row>
    <ns0:row r="31" customFormat="false" ht="15" hidden="false" customHeight="false" outlineLevel="0" collapsed="false">
      <ns0:c r="A31" s="1"/>
      <ns0:c r="B31" s="1"/>
      <ns0:c r="C31" s="1"/>
      <ns0:c r="D31" s="1"/>
      <ns0:c r="E31" s="1"/>
      <ns0:c r="F31" s="1"/>
      <ns0:c r="G31" s="1"/>
      <ns0:c r="H31" s="1"/>
      <ns0:c r="I31" s="1"/>
      <ns0:c r="J31" s="1"/>
      <ns0:c r="K31" s="1"/>
      <ns0:c r="L31" s="1"/>
      <ns0:c r="M31" s="1"/>
      <ns0:c r="N31" s="1"/>
    </ns0:row>
    <ns0:row r="32" customFormat="false" ht="15" hidden="false" customHeight="false" outlineLevel="0" collapsed="false">
      <ns0:c r="A32" s="1"/>
      <ns0:c r="B32" s="1"/>
      <ns0:c r="C32" s="1"/>
      <ns0:c r="D32" s="1"/>
      <ns0:c r="E32" s="1"/>
      <ns0:c r="F32" s="1"/>
      <ns0:c r="G32" s="1"/>
      <ns0:c r="H32" s="1"/>
      <ns0:c r="I32" s="1"/>
      <ns0:c r="J32" s="1"/>
      <ns0:c r="K32" s="1"/>
      <ns0:c r="L32" s="1"/>
      <ns0:c r="M32" s="1"/>
      <ns0:c r="N32" s="1"/>
    </ns0:row>
    <ns0:row r="33" customFormat="false" ht="15" hidden="false" customHeight="false" outlineLevel="0" collapsed="false">
      <ns0:c r="A33" s="1"/>
      <ns0:c r="B33" s="1"/>
      <ns0:c r="C33" s="1"/>
      <ns0:c r="D33" s="1"/>
      <ns0:c r="E33" s="1"/>
      <ns0:c r="F33" s="1"/>
      <ns0:c r="G33" s="1"/>
      <ns0:c r="H33" s="1"/>
      <ns0:c r="I33" s="1"/>
      <ns0:c r="J33" s="1"/>
      <ns0:c r="K33" s="1"/>
      <ns0:c r="L33" s="1"/>
      <ns0:c r="M33" s="1"/>
      <ns0:c r="N33" s="1"/>
    </ns0:row>
    <ns0:row r="34" customFormat="false" ht="15" hidden="false" customHeight="false" outlineLevel="0" collapsed="false">
      <ns0:c r="A34" s="1"/>
      <ns0:c r="B34" s="1"/>
      <ns0:c r="C34" s="1"/>
      <ns0:c r="D34" s="1"/>
      <ns0:c r="E34" s="1"/>
      <ns0:c r="F34" s="1"/>
      <ns0:c r="G34" s="1"/>
      <ns0:c r="H34" s="1"/>
      <ns0:c r="I34" s="1"/>
      <ns0:c r="J34" s="1"/>
      <ns0:c r="K34" s="1"/>
      <ns0:c r="L34" s="1"/>
      <ns0:c r="M34" s="1"/>
      <ns0:c r="N34" s="1"/>
    </ns0:row>
    <ns0:row r="35" customFormat="false" ht="15" hidden="false" customHeight="false" outlineLevel="0" collapsed="false">
      <ns0:c r="A35" s="1"/>
      <ns0:c r="B35" s="1"/>
      <ns0:c r="C35" s="1"/>
      <ns0:c r="D35" s="1"/>
      <ns0:c r="E35" s="1"/>
      <ns0:c r="F35" s="1"/>
      <ns0:c r="G35" s="1"/>
      <ns0:c r="H35" s="1"/>
      <ns0:c r="I35" s="1"/>
      <ns0:c r="J35" s="1"/>
      <ns0:c r="K35" s="1"/>
      <ns0:c r="L35" s="1"/>
      <ns0:c r="M35" s="1"/>
      <ns0:c r="N35" s="1"/>
    </ns0:row>
    <ns0:row r="36" customFormat="false" ht="15" hidden="false" customHeight="false" outlineLevel="0" collapsed="false">
      <ns0:c r="A36" s="1"/>
      <ns0:c r="B36" s="1"/>
      <ns0:c r="C36" s="1"/>
      <ns0:c r="D36" s="1"/>
      <ns0:c r="E36" s="1"/>
      <ns0:c r="F36" s="1"/>
      <ns0:c r="G36" s="1"/>
      <ns0:c r="H36" s="1"/>
      <ns0:c r="I36" s="1"/>
      <ns0:c r="J36" s="1"/>
      <ns0:c r="K36" s="1"/>
      <ns0:c r="L36" s="1"/>
      <ns0:c r="M36" s="1"/>
      <ns0:c r="N36" s="1"/>
    </ns0:row>
    <ns0:row r="37" customFormat="false" ht="15" hidden="false" customHeight="false" outlineLevel="0" collapsed="false">
      <ns0:c r="A37" s="1"/>
      <ns0:c r="B37" s="1"/>
      <ns0:c r="C37" s="1"/>
      <ns0:c r="D37" s="1"/>
      <ns0:c r="E37" s="1"/>
      <ns0:c r="F37" s="1"/>
      <ns0:c r="G37" s="1"/>
      <ns0:c r="H37" s="1"/>
      <ns0:c r="I37" s="1"/>
      <ns0:c r="J37" s="1"/>
      <ns0:c r="K37" s="1"/>
      <ns0:c r="L37" s="1"/>
      <ns0:c r="M37" s="1"/>
      <ns0:c r="N37" s="1"/>
    </ns0:row>
    <ns0:row r="38" customFormat="false" ht="15" hidden="false" customHeight="false" outlineLevel="0" collapsed="false">
      <ns0:c r="A38" s="1"/>
      <ns0:c r="B38" s="1"/>
      <ns0:c r="C38" s="1"/>
      <ns0:c r="D38" s="1"/>
      <ns0:c r="E38" s="1"/>
      <ns0:c r="F38" s="1"/>
      <ns0:c r="G38" s="1"/>
      <ns0:c r="H38" s="1"/>
      <ns0:c r="I38" s="1"/>
      <ns0:c r="J38" s="1"/>
      <ns0:c r="K38" s="1"/>
      <ns0:c r="L38" s="1"/>
      <ns0:c r="M38" s="1"/>
      <ns0:c r="N38" s="1"/>
    </ns0:row>
    <ns0:row r="39" customFormat="false" ht="15" hidden="false" customHeight="false" outlineLevel="0" collapsed="false">
      <ns0:c r="A39" s="1"/>
      <ns0:c r="B39" s="1"/>
      <ns0:c r="C39" s="1"/>
      <ns0:c r="D39" s="1"/>
      <ns0:c r="E39" s="1"/>
      <ns0:c r="F39" s="1"/>
      <ns0:c r="G39" s="1"/>
      <ns0:c r="H39" s="1"/>
      <ns0:c r="I39" s="1"/>
      <ns0:c r="J39" s="1"/>
      <ns0:c r="K39" s="1"/>
      <ns0:c r="L39" s="1"/>
      <ns0:c r="M39" s="1"/>
      <ns0:c r="N39" s="1"/>
    </ns0:row>
  </ns0:sheetData>
  <ns0:mergeCells count="6">
    <ns0:mergeCell ref="B10:N10"/>
    <ns0:mergeCell ref="B12:N12"/>
    <ns0:mergeCell ref="B14:N14"/>
    <ns0:mergeCell ref="B16:N16"/>
    <ns0:mergeCell ref="B20:N20"/>
    <ns0:mergeCell ref="B22:N22"/>
  </ns0:mergeCells>
  <ns0:printOptions headings="false" gridLines="false" gridLinesSet="true" horizontalCentered="false" verticalCentered="false"/>
  <ns0:pageMargins left="0.75" right="0.75" top="1" bottom="1" header="0.511811023622047" footer="0.511811023622047"/>
  <ns0:pageSetup paperSize="9" scale="100" fitToWidth="1" fitToHeight="1" pageOrder="downThenOver" orientation="portrait" blackAndWhite="false" draft="false" cellComments="none" horizontalDpi="300" verticalDpi="300" copies="1"/>
  <ns0:headerFooter differentFirst="false" differentOddEven="false">
    <ns0:oddHeader/>
    <ns0:oddFooter/>
  </ns0:headerFooter>
  <ns0:drawing ns1:id="rId1"/>
</ns0:worksheet>
</file>

<file path=xl/worksheets/sheet2.xml><?xml version="1.0" encoding="utf-8"?>
<ns0:worksheet xmlns:ns0="http://schemas.openxmlformats.org/spreadsheetml/2006/main" xmlns:ns1="http://schemas.openxmlformats.org/officeDocument/2006/relationships">
  <ns0:sheetPr filterMode="false">
    <ns0:tabColor rgb="FFE74C3C"/>
    <ns0:pageSetUpPr fitToPage="false"/>
  </ns0:sheetPr>
  <ns0:dimension ref="A1:L30"/>
  <ns0:sheetViews>
    <ns0: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ns0:selection pane="topLeft" activeCell="A1" activeCellId="0" sqref="A1"/>
    </ns0:sheetView>
  </ns0:sheetViews>
  <ns0:sheetFormatPr defaultColWidth="8.6796875" defaultRowHeight="15" zeroHeight="false" outlineLevelRow="0" outlineLevelCol="0"/>
  <ns0:cols>
    <ns0:col collapsed="false" customWidth="true" hidden="false" outlineLevel="0" max="12" min="2" style="0" width="16"/>
  </ns0:cols>
  <ns0:sheetData>
    <ns0:row r="1" customFormat="false" ht="15" hidden="false" customHeight="false" outlineLevel="0" collapsed="false">
      <ns0:c r="A1" s="8"/>
      <ns0:c r="B1" s="8"/>
      <ns0:c r="C1" s="8"/>
      <ns0:c r="D1" s="8"/>
      <ns0:c r="E1" s="8"/>
      <ns0:c r="F1" s="8"/>
      <ns0:c r="G1" s="8"/>
      <ns0:c r="H1" s="8"/>
      <ns0:c r="I1" s="8"/>
      <ns0:c r="J1" s="8"/>
      <ns0:c r="K1" s="8"/>
      <ns0:c r="L1" s="8"/>
    </ns0:row>
    <ns0:row r="2" customFormat="false" ht="15" hidden="false" customHeight="true" outlineLevel="0" collapsed="false">
      <ns0:c r="A2" s="8"/>
      <ns0:c r="B2" s="8"/>
      <ns0:c r="C2" s="8"/>
      <ns0:c r="D2" s="8"/>
      <ns0:c r="E2" s="8"/>
      <ns0:c r="F2" s="8"/>
      <ns0:c r="G2" s="8"/>
      <ns0:c r="H2" s="8"/>
      <ns0:c r="I2" s="9" t="s">
        <ns0:v>6</ns0:v>
      </ns0:c>
      <ns0:c r="J2" s="9"/>
      <ns0:c r="K2" s="9"/>
      <ns0:c r="L2" s="9"/>
    </ns0:row>
    <ns0:row r="3" customFormat="false" ht="19.7" hidden="false" customHeight="true" outlineLevel="0" collapsed="false">
      <ns0:c r="A3" s="8"/>
      <ns0:c r="B3" s="10" t="s">
        <ns0:v>7</ns0:v>
      </ns0:c>
      <ns0:c r="C3" s="10"/>
      <ns0:c r="D3" s="10"/>
      <ns0:c r="E3" s="10"/>
      <ns0:c r="F3" s="10"/>
      <ns0:c r="G3" s="10"/>
      <ns0:c r="H3" s="8"/>
      <ns0:c r="I3" s="11" t="s">
        <ns0:v>8</ns0:v>
      </ns0:c>
      <ns0:c r="J3" s="11" t="s">
        <ns0:v>9</ns0:v>
      </ns0:c>
      <ns0:c r="K3" s="11" t="s">
        <ns0:v>10</ns0:v>
      </ns0:c>
      <ns0:c r="L3" s="11" t="s">
        <ns0:v>11</ns0:v>
      </ns0:c>
    </ns0:row>
    <ns0:row r="4" customFormat="false" ht="15" hidden="false" customHeight="false" outlineLevel="0" collapsed="false">
      <ns0:c r="A4" s="8"/>
      <ns0:c r="B4" s="8"/>
      <ns0:c r="C4" s="8"/>
      <ns0:c r="D4" s="8"/>
      <ns0:c r="E4" s="8"/>
      <ns0:c r="F4" s="8"/>
      <ns0:c r="G4" s="8"/>
      <ns0:c r="H4" s="8"/>
      <ns0:c r="I4" s="12" t="s">
        <ns0:v>12</ns0:v>
      </ns0:c>
      <ns0:c r="J4" s="12" t="s">
        <ns0:v>13</ns0:v>
      </ns0:c>
      <ns0:c r="K4" s="12" t="s">
        <ns0:v>14</ns0:v>
      </ns0:c>
      <ns0:c r="L4" s="12" t="s">
        <ns0:v>15</ns0:v>
      </ns0:c>
    </ns0:row>
    <ns0:row r="5" customFormat="false" ht="15" hidden="false" customHeight="false" outlineLevel="0" collapsed="false">
      <ns0:c r="A5" s="8"/>
      <ns0:c r="B5" s="13" t="s">
        <ns0:v>16</ns0:v>
      </ns0:c>
      <ns0:c r="C5" s="13"/>
      <ns0:c r="D5" s="14"/>
      <ns0:c r="E5" s="14"/>
      <ns0:c r="F5" s="14"/>
      <ns0:c r="G5" s="8"/>
      <ns0:c r="H5" s="8"/>
      <ns0:c r="I5" s="15" t="s">
        <ns0:v>17</ns0:v>
      </ns0:c>
      <ns0:c r="J5" s="15" t="s">
        <ns0:v>18</ns0:v>
      </ns0:c>
      <ns0:c r="K5" s="15" t="s">
        <ns0:v>19</ns0:v>
      </ns0:c>
      <ns0:c r="L5" s="15" t="s">
        <ns0:v>20</ns0:v>
      </ns0:c>
    </ns0:row>
    <ns0:row r="6" customFormat="false" ht="15" hidden="false" customHeight="false" outlineLevel="0" collapsed="false">
      <ns0:c r="A6" s="8"/>
      <ns0:c r="B6" s="8"/>
      <ns0:c r="C6" s="8"/>
      <ns0:c r="D6" s="8"/>
      <ns0:c r="E6" s="8"/>
      <ns0:c r="F6" s="8"/>
      <ns0:c r="G6" s="8"/>
      <ns0:c r="H6" s="8"/>
      <ns0:c r="I6" s="12" t="s">
        <ns0:v>21</ns0:v>
      </ns0:c>
      <ns0:c r="J6" s="12" t="s">
        <ns0:v>22</ns0:v>
      </ns0:c>
      <ns0:c r="K6" s="12" t="s">
        <ns0:v>23</ns0:v>
      </ns0:c>
      <ns0:c r="L6" s="12" t="s">
        <ns0:v>24</ns0:v>
      </ns0:c>
    </ns0:row>
    <ns0:row r="7" customFormat="false" ht="15" hidden="false" customHeight="false" outlineLevel="0" collapsed="false">
      <ns0:c r="A7" s="8"/>
      <ns0:c r="B7" s="13" t="s">
        <ns0:v>25</ns0:v>
      </ns0:c>
      <ns0:c r="C7" s="13"/>
      <ns0:c r="D7" s="14"/>
      <ns0:c r="E7" s="14"/>
      <ns0:c r="F7" s="14"/>
      <ns0:c r="G7" s="8"/>
      <ns0:c r="H7" s="8"/>
      <ns0:c r="I7" s="15" t="s">
        <ns0:v>26</ns0:v>
      </ns0:c>
      <ns0:c r="J7" s="15" t="s">
        <ns0:v>27</ns0:v>
      </ns0:c>
      <ns0:c r="K7" s="15" t="s">
        <ns0:v>28</ns0:v>
      </ns0:c>
      <ns0:c r="L7" s="15" t="s">
        <ns0:v>29</ns0:v>
      </ns0:c>
    </ns0:row>
    <ns0:row r="8" customFormat="false" ht="15" hidden="false" customHeight="false" outlineLevel="0" collapsed="false">
      <ns0:c r="A8" s="8"/>
      <ns0:c r="B8" s="8"/>
      <ns0:c r="C8" s="8"/>
      <ns0:c r="D8" s="8"/>
      <ns0:c r="E8" s="8"/>
      <ns0:c r="F8" s="8"/>
      <ns0:c r="G8" s="8"/>
      <ns0:c r="H8" s="8"/>
      <ns0:c r="I8" s="8"/>
      <ns0:c r="J8" s="8"/>
      <ns0:c r="K8" s="8"/>
      <ns0:c r="L8" s="8"/>
    </ns0:row>
    <ns0:row r="9" customFormat="false" ht="17.35" hidden="false" customHeight="true" outlineLevel="0" collapsed="false">
      <ns0:c r="A9" s="8"/>
      <ns0:c r="B9" s="8"/>
      <ns0:c r="C9" s="8"/>
      <ns0:c r="D9" s="16" t="s">
        <ns0:v>30</ns0:v>
      </ns0:c>
      <ns0:c r="E9" s="16"/>
      <ns0:c r="F9" s="16"/>
      <ns0:c r="G9" s="8"/>
      <ns0:c r="H9" s="8"/>
      <ns0:c r="I9" s="8"/>
      <ns0:c r="J9" s="8"/>
      <ns0:c r="K9" s="8"/>
      <ns0:c r="L9" s="8"/>
    </ns0:row>
    <ns0:row r="10" customFormat="false" ht="15" hidden="false" customHeight="false" outlineLevel="0" collapsed="false">
      <ns0:c r="A10" s="8"/>
      <ns0:c r="B10" s="8"/>
      <ns0:c r="C10" s="8"/>
      <ns0:c r="D10" s="8"/>
      <ns0:c r="E10" s="8"/>
      <ns0:c r="F10" s="8"/>
      <ns0:c r="G10" s="8"/>
      <ns0:c r="H10" s="8"/>
      <ns0:c r="I10" s="8"/>
      <ns0:c r="J10" s="8"/>
      <ns0:c r="K10" s="8"/>
      <ns0:c r="L10" s="8"/>
    </ns0:row>
    <ns0:row r="11" customFormat="false" ht="15" hidden="false" customHeight="false" outlineLevel="0" collapsed="false">
      <ns0:c r="A11" s="8"/>
      <ns0:c r="B11" s="17" t="s">
        <ns0:v>31</ns0:v>
      </ns0:c>
      <ns0:c r="C11" s="17"/>
      <ns0:c r="D11" s="17"/>
      <ns0:c r="E11" s="17"/>
      <ns0:c r="F11" s="17"/>
      <ns0:c r="G11" s="17"/>
      <ns0:c r="H11" s="8"/>
      <ns0:c r="I11" s="8"/>
      <ns0:c r="J11" s="8"/>
      <ns0:c r="K11" s="8"/>
      <ns0:c r="L11" s="8"/>
    </ns0:row>
    <ns0:row r="12" customFormat="false" ht="15" hidden="false" customHeight="false" outlineLevel="0" collapsed="false">
      <ns0:c r="A12" s="8"/>
      <ns0:c r="B12" s="18"/>
      <ns0:c r="C12" s="18"/>
      <ns0:c r="D12" s="18"/>
      <ns0:c r="E12" s="18"/>
      <ns0:c r="F12" s="18"/>
      <ns0:c r="G12" s="18"/>
      <ns0:c r="H12" s="8"/>
      <ns0:c r="I12" s="8"/>
      <ns0:c r="J12" s="8"/>
      <ns0:c r="K12" s="8"/>
      <ns0:c r="L12" s="8"/>
    </ns0:row>
    <ns0:row r="13" customFormat="false" ht="15" hidden="false" customHeight="false" outlineLevel="0" collapsed="false">
      <ns0:c r="A13" s="8"/>
      <ns0:c r="B13" s="8"/>
      <ns0:c r="C13" s="8"/>
      <ns0:c r="D13" s="8"/>
      <ns0:c r="E13" s="8"/>
      <ns0:c r="F13" s="8"/>
      <ns0:c r="G13" s="8"/>
      <ns0:c r="H13" s="8"/>
      <ns0:c r="I13" s="8"/>
      <ns0:c r="J13" s="8"/>
      <ns0:c r="K13" s="8"/>
      <ns0:c r="L13" s="8"/>
    </ns0:row>
    <ns0:row r="14" customFormat="false" ht="15" hidden="false" customHeight="false" outlineLevel="0" collapsed="false">
      <ns0:c r="A14" s="8"/>
      <ns0:c r="B14" s="8"/>
      <ns0:c r="C14" s="8"/>
      <ns0:c r="D14" s="8"/>
      <ns0:c r="E14" s="8"/>
      <ns0:c r="F14" s="8"/>
      <ns0:c r="G14" s="8"/>
      <ns0:c r="H14" s="8"/>
      <ns0:c r="I14" s="8"/>
      <ns0:c r="J14" s="8"/>
      <ns0:c r="K14" s="8"/>
      <ns0:c r="L14" s="8"/>
    </ns0:row>
    <ns0:row r="15" customFormat="false" ht="15" hidden="false" customHeight="false" outlineLevel="0" collapsed="false">
      <ns0:c r="A15" s="8"/>
      <ns0:c r="B15" s="8"/>
      <ns0:c r="C15" s="8"/>
      <ns0:c r="D15" s="8"/>
      <ns0:c r="E15" s="8"/>
      <ns0:c r="F15" s="8"/>
      <ns0:c r="G15" s="8"/>
      <ns0:c r="H15" s="8"/>
      <ns0:c r="I15" s="8"/>
      <ns0:c r="J15" s="8"/>
      <ns0:c r="K15" s="8"/>
      <ns0:c r="L15" s="8"/>
    </ns0:row>
    <ns0:row r="16" customFormat="false" ht="15" hidden="false" customHeight="false" outlineLevel="0" collapsed="false">
      <ns0:c r="A16" s="8"/>
      <ns0:c r="B16" s="8"/>
      <ns0:c r="C16" s="8"/>
      <ns0:c r="D16" s="8"/>
      <ns0:c r="E16" s="8"/>
      <ns0:c r="F16" s="8"/>
      <ns0:c r="G16" s="8"/>
      <ns0:c r="H16" s="8"/>
      <ns0:c r="I16" s="8"/>
      <ns0:c r="J16" s="8"/>
      <ns0:c r="K16" s="8"/>
      <ns0:c r="L16" s="8"/>
    </ns0:row>
    <ns0:row r="17" customFormat="false" ht="15" hidden="false" customHeight="false" outlineLevel="0" collapsed="false">
      <ns0:c r="A17" s="8"/>
      <ns0:c r="B17" s="8"/>
      <ns0:c r="C17" s="8"/>
      <ns0:c r="D17" s="8"/>
      <ns0:c r="E17" s="8"/>
      <ns0:c r="F17" s="8"/>
      <ns0:c r="G17" s="8"/>
      <ns0:c r="H17" s="8"/>
      <ns0:c r="I17" s="8"/>
      <ns0:c r="J17" s="8"/>
      <ns0:c r="K17" s="8"/>
      <ns0:c r="L17" s="8"/>
    </ns0:row>
    <ns0:row r="18" customFormat="false" ht="15" hidden="false" customHeight="false" outlineLevel="0" collapsed="false">
      <ns0:c r="A18" s="8"/>
      <ns0:c r="B18" s="8"/>
      <ns0:c r="C18" s="8"/>
      <ns0:c r="D18" s="8"/>
      <ns0:c r="E18" s="8"/>
      <ns0:c r="F18" s="8"/>
      <ns0:c r="G18" s="8"/>
      <ns0:c r="H18" s="8"/>
      <ns0:c r="I18" s="8"/>
      <ns0:c r="J18" s="8"/>
      <ns0:c r="K18" s="8"/>
      <ns0:c r="L18" s="8"/>
    </ns0:row>
    <ns0:row r="19" customFormat="false" ht="15" hidden="false" customHeight="false" outlineLevel="0" collapsed="false">
      <ns0:c r="A19" s="8"/>
      <ns0:c r="B19" s="8"/>
      <ns0:c r="C19" s="8"/>
      <ns0:c r="D19" s="8"/>
      <ns0:c r="E19" s="8"/>
      <ns0:c r="F19" s="8"/>
      <ns0:c r="G19" s="8"/>
      <ns0:c r="H19" s="8"/>
      <ns0:c r="I19" s="8"/>
      <ns0:c r="J19" s="8"/>
      <ns0:c r="K19" s="8"/>
      <ns0:c r="L19" s="8"/>
    </ns0:row>
    <ns0:row r="20" customFormat="false" ht="15" hidden="false" customHeight="false" outlineLevel="0" collapsed="false">
      <ns0:c r="A20" s="8"/>
      <ns0:c r="B20" s="8"/>
      <ns0:c r="C20" s="8"/>
      <ns0:c r="D20" s="8"/>
      <ns0:c r="E20" s="8"/>
      <ns0:c r="F20" s="8"/>
      <ns0:c r="G20" s="8"/>
      <ns0:c r="H20" s="8"/>
      <ns0:c r="I20" s="8"/>
      <ns0:c r="J20" s="8"/>
      <ns0:c r="K20" s="8"/>
      <ns0:c r="L20" s="8"/>
    </ns0:row>
    <ns0:row r="21" customFormat="false" ht="15" hidden="false" customHeight="false" outlineLevel="0" collapsed="false">
      <ns0:c r="A21" s="8"/>
      <ns0:c r="B21" s="8"/>
      <ns0:c r="C21" s="8"/>
      <ns0:c r="D21" s="8"/>
      <ns0:c r="E21" s="8"/>
      <ns0:c r="F21" s="8"/>
      <ns0:c r="G21" s="8"/>
      <ns0:c r="H21" s="8"/>
      <ns0:c r="I21" s="8"/>
      <ns0:c r="J21" s="8"/>
      <ns0:c r="K21" s="8"/>
      <ns0:c r="L21" s="8"/>
    </ns0:row>
    <ns0:row r="22" customFormat="false" ht="15" hidden="false" customHeight="false" outlineLevel="0" collapsed="false">
      <ns0:c r="A22" s="8"/>
      <ns0:c r="B22" s="8"/>
      <ns0:c r="C22" s="8"/>
      <ns0:c r="D22" s="8"/>
      <ns0:c r="E22" s="8"/>
      <ns0:c r="F22" s="8"/>
      <ns0:c r="G22" s="8"/>
      <ns0:c r="H22" s="8"/>
      <ns0:c r="I22" s="8"/>
      <ns0:c r="J22" s="8"/>
      <ns0:c r="K22" s="8"/>
      <ns0:c r="L22" s="8"/>
    </ns0:row>
    <ns0:row r="23" customFormat="false" ht="15" hidden="false" customHeight="false" outlineLevel="0" collapsed="false">
      <ns0:c r="A23" s="8"/>
      <ns0:c r="B23" s="8"/>
      <ns0:c r="C23" s="8"/>
      <ns0:c r="D23" s="8"/>
      <ns0:c r="E23" s="8"/>
      <ns0:c r="F23" s="8"/>
      <ns0:c r="G23" s="8"/>
      <ns0:c r="H23" s="8"/>
      <ns0:c r="I23" s="8"/>
      <ns0:c r="J23" s="8"/>
      <ns0:c r="K23" s="8"/>
      <ns0:c r="L23" s="8"/>
    </ns0:row>
    <ns0:row r="24" customFormat="false" ht="15" hidden="false" customHeight="false" outlineLevel="0" collapsed="false">
      <ns0:c r="A24" s="8"/>
      <ns0:c r="B24" s="8"/>
      <ns0:c r="C24" s="8"/>
      <ns0:c r="D24" s="8"/>
      <ns0:c r="E24" s="8"/>
      <ns0:c r="F24" s="8"/>
      <ns0:c r="G24" s="8"/>
      <ns0:c r="H24" s="8"/>
      <ns0:c r="I24" s="8"/>
      <ns0:c r="J24" s="8"/>
      <ns0:c r="K24" s="8"/>
      <ns0:c r="L24" s="8"/>
    </ns0:row>
    <ns0:row r="25" customFormat="false" ht="15" hidden="false" customHeight="false" outlineLevel="0" collapsed="false">
      <ns0:c r="A25" s="8"/>
      <ns0:c r="B25" s="8"/>
      <ns0:c r="C25" s="8"/>
      <ns0:c r="D25" s="8"/>
      <ns0:c r="E25" s="8"/>
      <ns0:c r="F25" s="8"/>
      <ns0:c r="G25" s="8"/>
      <ns0:c r="H25" s="8"/>
      <ns0:c r="I25" s="8"/>
      <ns0:c r="J25" s="8"/>
      <ns0:c r="K25" s="8"/>
      <ns0:c r="L25" s="8"/>
    </ns0:row>
    <ns0:row r="26" customFormat="false" ht="15" hidden="false" customHeight="false" outlineLevel="0" collapsed="false">
      <ns0:c r="A26" s="8"/>
      <ns0:c r="B26" s="8"/>
      <ns0:c r="C26" s="8"/>
      <ns0:c r="D26" s="8"/>
      <ns0:c r="E26" s="8"/>
      <ns0:c r="F26" s="8"/>
      <ns0:c r="G26" s="8"/>
      <ns0:c r="H26" s="8"/>
      <ns0:c r="I26" s="8"/>
      <ns0:c r="J26" s="8"/>
      <ns0:c r="K26" s="8"/>
      <ns0:c r="L26" s="8"/>
    </ns0:row>
    <ns0:row r="27" customFormat="false" ht="15" hidden="false" customHeight="false" outlineLevel="0" collapsed="false">
      <ns0:c r="A27" s="8"/>
      <ns0:c r="B27" s="8"/>
      <ns0:c r="C27" s="8"/>
      <ns0:c r="D27" s="8"/>
      <ns0:c r="E27" s="8"/>
      <ns0:c r="F27" s="8"/>
      <ns0:c r="G27" s="8"/>
      <ns0:c r="H27" s="8"/>
      <ns0:c r="I27" s="8"/>
      <ns0:c r="J27" s="8"/>
      <ns0:c r="K27" s="8"/>
      <ns0:c r="L27" s="8"/>
    </ns0:row>
    <ns0:row r="28" customFormat="false" ht="15" hidden="false" customHeight="false" outlineLevel="0" collapsed="false">
      <ns0:c r="A28" s="8"/>
      <ns0:c r="B28" s="8"/>
      <ns0:c r="C28" s="8"/>
      <ns0:c r="D28" s="8"/>
      <ns0:c r="E28" s="8"/>
      <ns0:c r="F28" s="8"/>
      <ns0:c r="G28" s="8"/>
      <ns0:c r="H28" s="8"/>
      <ns0:c r="I28" s="8"/>
      <ns0:c r="J28" s="8"/>
      <ns0:c r="K28" s="8"/>
      <ns0:c r="L28" s="8"/>
    </ns0:row>
    <ns0:row r="29" customFormat="false" ht="15" hidden="false" customHeight="false" outlineLevel="0" collapsed="false">
      <ns0:c r="A29" s="8"/>
      <ns0:c r="B29" s="8"/>
      <ns0:c r="C29" s="8"/>
      <ns0:c r="D29" s="8"/>
      <ns0:c r="E29" s="8"/>
      <ns0:c r="F29" s="8"/>
      <ns0:c r="G29" s="8"/>
      <ns0:c r="H29" s="8"/>
      <ns0:c r="I29" s="8"/>
      <ns0:c r="J29" s="8"/>
      <ns0:c r="K29" s="8"/>
      <ns0:c r="L29" s="8"/>
    </ns0:row>
    <ns0:row r="30" customFormat="false" ht="15" hidden="false" customHeight="false" outlineLevel="0" collapsed="false">
      <ns0:c r="A30" s="8"/>
      <ns0:c r="B30" s="8"/>
      <ns0:c r="C30" s="8"/>
      <ns0:c r="D30" s="8"/>
      <ns0:c r="E30" s="8"/>
      <ns0:c r="F30" s="8"/>
      <ns0:c r="G30" s="8"/>
      <ns0:c r="H30" s="8"/>
      <ns0:c r="I30" s="8"/>
      <ns0:c r="J30" s="8"/>
      <ns0:c r="K30" s="8"/>
      <ns0:c r="L30" s="8"/>
    </ns0:row>
  </ns0:sheetData>
  <ns0:mergeCells count="9">
    <ns0:mergeCell ref="I2:L2"/>
    <ns0:mergeCell ref="B3:G3"/>
    <ns0:mergeCell ref="B5:C5"/>
    <ns0:mergeCell ref="D5:F5"/>
    <ns0:mergeCell ref="B7:C7"/>
    <ns0:mergeCell ref="D7:F7"/>
    <ns0:mergeCell ref="D9:F9"/>
    <ns0:mergeCell ref="B11:G11"/>
    <ns0:mergeCell ref="B12:G12"/>
  </ns0:mergeCells>
  <ns0:printOptions headings="false" gridLines="false" gridLinesSet="true" horizontalCentered="false" verticalCentered="false"/>
  <ns0:pageMargins left="0.75" right="0.75" top="1" bottom="1" header="0.511811023622047" footer="0.511811023622047"/>
  <ns0:pageSetup paperSize="9" scale="100" fitToWidth="1" fitToHeight="1" pageOrder="downThenOver" orientation="portrait" blackAndWhite="false" draft="false" cellComments="none" horizontalDpi="300" verticalDpi="300" copies="1"/>
  <ns0:headerFooter differentFirst="false" differentOddEven="false">
    <ns0:oddHeader/>
    <ns0:oddFooter/>
  </ns0:headerFooter>
  <ns0:drawing ns1:id="rId1"/>
</ns0:worksheet>
</file>

<file path=xl/worksheets/sheet3.xml><?xml version="1.0" encoding="utf-8"?>
<ns0:worksheet xmlns:ns0="http://schemas.openxmlformats.org/spreadsheetml/2006/main" xmlns:ns1="http://schemas.openxmlformats.org/officeDocument/2006/relationships">
  <ns0:sheetPr filterMode="false">
    <ns0:tabColor rgb="FF3498DB"/>
    <ns0:pageSetUpPr fitToPage="false"/>
  </ns0:sheetPr>
  <ns0:dimension ref="A1:M34"/>
  <ns0:sheetViews>
    <ns0: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ns0:selection pane="topLeft" activeCell="A1" activeCellId="0" sqref="A1"/>
    </ns0:sheetView>
  </ns0:sheetViews>
  <ns0:sheetFormatPr defaultColWidth="8.6796875" defaultRowHeight="15" zeroHeight="false" outlineLevelRow="0" outlineLevelCol="0"/>
  <ns0:cols>
    <ns0:col collapsed="false" customWidth="true" hidden="false" outlineLevel="0" max="13" min="1" style="0" width="14"/>
  </ns0:cols>
  <ns0:sheetData>
    <ns0:row r="1" customFormat="false" ht="15" hidden="false" customHeight="false" outlineLevel="0" collapsed="false">
      <ns0:c r="A1" s="19"/>
      <ns0:c r="B1" s="19"/>
      <ns0:c r="C1" s="19"/>
      <ns0:c r="D1" s="19"/>
      <ns0:c r="E1" s="19"/>
      <ns0:c r="F1" s="19"/>
      <ns0:c r="G1" s="19"/>
      <ns0:c r="H1" s="19"/>
      <ns0:c r="I1" s="19"/>
      <ns0:c r="J1" s="19"/>
      <ns0:c r="K1" s="19"/>
      <ns0:c r="L1" s="19"/>
      <ns0:c r="M1" s="19"/>
    </ns0:row>
    <ns0:row r="2" customFormat="false" ht="24.45" hidden="false" customHeight="true" outlineLevel="0" collapsed="false">
      <ns0:c r="A2" s="19"/>
      <ns0:c r="B2" s="20" t="s">
        <ns0:v>32</ns0:v>
      </ns0:c>
      <ns0:c r="C2" s="20"/>
      <ns0:c r="D2" s="20"/>
      <ns0:c r="E2" s="20"/>
      <ns0:c r="F2" s="20"/>
      <ns0:c r="G2" s="20"/>
      <ns0:c r="H2" s="20"/>
      <ns0:c r="I2" s="20"/>
      <ns0:c r="J2" s="20"/>
      <ns0:c r="K2" s="20"/>
      <ns0:c r="L2" s="20"/>
      <ns0:c r="M2" s="19"/>
    </ns0:row>
    <ns0:row r="3" customFormat="false" ht="15" hidden="false" customHeight="false" outlineLevel="0" collapsed="false">
      <ns0:c r="A3" s="19"/>
      <ns0:c r="B3" s="19"/>
      <ns0:c r="C3" s="19"/>
      <ns0:c r="D3" s="19"/>
      <ns0:c r="E3" s="19"/>
      <ns0:c r="F3" s="19"/>
      <ns0:c r="G3" s="19"/>
      <ns0:c r="H3" s="19"/>
      <ns0:c r="I3" s="19"/>
      <ns0:c r="J3" s="19"/>
      <ns0:c r="K3" s="19"/>
      <ns0:c r="L3" s="19"/>
      <ns0:c r="M3" s="19"/>
    </ns0:row>
    <ns0:row r="4" customFormat="false" ht="15" hidden="false" customHeight="false" outlineLevel="0" collapsed="false">
      <ns0:c r="A4" s="19"/>
      <ns0:c r="B4" s="21" t="s">
        <ns0:v>33</ns0:v>
      </ns0:c>
      <ns0:c r="C4" s="21"/>
      <ns0:c r="D4" s="22" t="s">
        <ns0:v>34</ns0:v>
      </ns0:c>
      <ns0:c r="E4" s="19"/>
      <ns0:c r="F4" s="21" t="s">
        <ns0:v>35</ns0:v>
      </ns0:c>
      <ns0:c r="G4" s="21"/>
      <ns0:c r="H4" s="22" t="s">
        <ns0:v>36</ns0:v>
      </ns0:c>
      <ns0:c r="I4" s="19"/>
      <ns0:c r="J4" s="19"/>
      <ns0:c r="K4" s="19"/>
      <ns0:c r="L4" s="19"/>
      <ns0:c r="M4" s="19"/>
    </ns0:row>
    <ns0:row r="5" customFormat="false" ht="15" hidden="false" customHeight="false" outlineLevel="0" collapsed="false">
      <ns0:c r="A5" s="19"/>
      <ns0:c r="B5" s="19"/>
      <ns0:c r="C5" s="19"/>
      <ns0:c r="D5" s="19"/>
      <ns0:c r="E5" s="19"/>
      <ns0:c r="F5" s="19"/>
      <ns0:c r="G5" s="19"/>
      <ns0:c r="H5" s="19"/>
      <ns0:c r="I5" s="19"/>
      <ns0:c r="J5" s="19"/>
      <ns0:c r="K5" s="19"/>
      <ns0:c r="L5" s="19"/>
      <ns0:c r="M5" s="19"/>
    </ns0:row>
    <ns0:row r="6" customFormat="false" ht="15" hidden="false" customHeight="false" outlineLevel="0" collapsed="false">
      <ns0:c r="A6" s="19"/>
      <ns0:c r="B6" s="19"/>
      <ns0:c r="C6" s="19"/>
      <ns0:c r="D6" s="19"/>
      <ns0:c r="E6" s="19"/>
      <ns0:c r="F6" s="19"/>
      <ns0:c r="G6" s="19"/>
      <ns0:c r="H6" s="19"/>
      <ns0:c r="I6" s="19"/>
      <ns0:c r="J6" s="19"/>
      <ns0:c r="K6" s="19"/>
      <ns0:c r="L6" s="19"/>
      <ns0:c r="M6" s="19"/>
    </ns0:row>
    <ns0:row r="7" customFormat="false" ht="15" hidden="false" customHeight="true" outlineLevel="0" collapsed="false">
      <ns0:c r="A7" s="19"/>
      <ns0:c r="B7" s="23" t="s">
        <ns0:v>37</ns0:v>
      </ns0:c>
      <ns0:c r="C7" s="23"/>
      <ns0:c r="D7" s="23"/>
      <ns0:c r="E7" s="23"/>
      <ns0:c r="F7" s="19"/>
      <ns0:c r="G7" s="24" t="s">
        <ns0:v>38</ns0:v>
      </ns0:c>
      <ns0:c r="H7" s="24"/>
      <ns0:c r="I7" s="24"/>
      <ns0:c r="J7" s="24"/>
      <ns0:c r="K7" s="19"/>
      <ns0:c r="L7" s="19"/>
      <ns0:c r="M7" s="19"/>
    </ns0:row>
    <ns0:row r="8" customFormat="false" ht="15" hidden="false" customHeight="false" outlineLevel="0" collapsed="false">
      <ns0:c r="A8" s="19"/>
      <ns0:c r="B8" s="23"/>
      <ns0:c r="C8" s="23"/>
      <ns0:c r="D8" s="23"/>
      <ns0:c r="E8" s="23"/>
      <ns0:c r="F8" s="19"/>
      <ns0:c r="G8" s="24"/>
      <ns0:c r="H8" s="24"/>
      <ns0:c r="I8" s="24"/>
      <ns0:c r="J8" s="24"/>
      <ns0:c r="K8" s="19"/>
      <ns0:c r="L8" s="19"/>
      <ns0:c r="M8" s="19"/>
    </ns0:row>
    <ns0:row r="9" customFormat="false" ht="15" hidden="false" customHeight="false" outlineLevel="0" collapsed="false">
      <ns0:c r="A9" s="19"/>
      <ns0:c r="B9" s="19"/>
      <ns0:c r="C9" s="19"/>
      <ns0:c r="D9" s="19"/>
      <ns0:c r="E9" s="19"/>
      <ns0:c r="F9" s="19"/>
      <ns0:c r="G9" s="19"/>
      <ns0:c r="H9" s="19"/>
      <ns0:c r="I9" s="19"/>
      <ns0:c r="J9" s="19"/>
      <ns0:c r="K9" s="19"/>
      <ns0:c r="L9" s="19"/>
      <ns0:c r="M9" s="19"/>
    </ns0:row>
    <ns0:row r="10" customFormat="false" ht="15" hidden="false" customHeight="true" outlineLevel="0" collapsed="false">
      <ns0:c r="A10" s="19"/>
      <ns0:c r="B10" s="25" t="s">
        <ns0:v>39</ns0:v>
      </ns0:c>
      <ns0:c r="C10" s="25"/>
      <ns0:c r="D10" s="25"/>
      <ns0:c r="E10" s="25"/>
      <ns0:c r="F10" s="19"/>
      <ns0:c r="G10" s="26" t="s">
        <ns0:v>40</ns0:v>
      </ns0:c>
      <ns0:c r="H10" s="26"/>
      <ns0:c r="I10" s="26"/>
      <ns0:c r="J10" s="26"/>
      <ns0:c r="K10" s="19"/>
      <ns0:c r="L10" s="19"/>
      <ns0:c r="M10" s="19"/>
    </ns0:row>
    <ns0:row r="11" customFormat="false" ht="15" hidden="false" customHeight="false" outlineLevel="0" collapsed="false">
      <ns0:c r="A11" s="19"/>
      <ns0:c r="B11" s="25"/>
      <ns0:c r="C11" s="25"/>
      <ns0:c r="D11" s="25"/>
      <ns0:c r="E11" s="25"/>
      <ns0:c r="F11" s="19"/>
      <ns0:c r="G11" s="26"/>
      <ns0:c r="H11" s="26"/>
      <ns0:c r="I11" s="26"/>
      <ns0:c r="J11" s="26"/>
      <ns0:c r="K11" s="19"/>
      <ns0:c r="L11" s="19"/>
      <ns0:c r="M11" s="19"/>
    </ns0:row>
    <ns0:row r="12" customFormat="false" ht="15" hidden="false" customHeight="false" outlineLevel="0" collapsed="false">
      <ns0:c r="A12" s="19"/>
      <ns0:c r="B12" s="19"/>
      <ns0:c r="C12" s="19"/>
      <ns0:c r="D12" s="19"/>
      <ns0:c r="E12" s="19"/>
      <ns0:c r="F12" s="19"/>
      <ns0:c r="G12" s="19"/>
      <ns0:c r="H12" s="19"/>
      <ns0:c r="I12" s="19"/>
      <ns0:c r="J12" s="19"/>
      <ns0:c r="K12" s="19"/>
      <ns0:c r="L12" s="19"/>
      <ns0:c r="M12" s="19"/>
    </ns0:row>
    <ns0:row r="13" customFormat="false" ht="15" hidden="false" customHeight="true" outlineLevel="0" collapsed="false">
      <ns0:c r="A13" s="19"/>
      <ns0:c r="B13" s="27" t="s">
        <ns0:v>41</ns0:v>
      </ns0:c>
      <ns0:c r="C13" s="27"/>
      <ns0:c r="D13" s="27"/>
      <ns0:c r="E13" s="27"/>
      <ns0:c r="F13" s="19"/>
      <ns0:c r="G13" s="28" t="s">
        <ns0:v>42</ns0:v>
      </ns0:c>
      <ns0:c r="H13" s="28"/>
      <ns0:c r="I13" s="28"/>
      <ns0:c r="J13" s="28"/>
      <ns0:c r="K13" s="19"/>
      <ns0:c r="L13" s="19"/>
      <ns0:c r="M13" s="19"/>
    </ns0:row>
    <ns0:row r="14" customFormat="false" ht="15" hidden="false" customHeight="false" outlineLevel="0" collapsed="false">
      <ns0:c r="A14" s="19"/>
      <ns0:c r="B14" s="27"/>
      <ns0:c r="C14" s="27"/>
      <ns0:c r="D14" s="27"/>
      <ns0:c r="E14" s="27"/>
      <ns0:c r="F14" s="19"/>
      <ns0:c r="G14" s="28"/>
      <ns0:c r="H14" s="28"/>
      <ns0:c r="I14" s="28"/>
      <ns0:c r="J14" s="28"/>
      <ns0:c r="K14" s="19"/>
      <ns0:c r="L14" s="19"/>
      <ns0:c r="M14" s="19"/>
    </ns0:row>
    <ns0:row r="15" customFormat="false" ht="15" hidden="false" customHeight="false" outlineLevel="0" collapsed="false">
      <ns0:c r="A15" s="19"/>
      <ns0:c r="B15" s="19"/>
      <ns0:c r="C15" s="19"/>
      <ns0:c r="D15" s="19"/>
      <ns0:c r="E15" s="19"/>
      <ns0:c r="F15" s="19"/>
      <ns0:c r="G15" s="19"/>
      <ns0:c r="H15" s="19"/>
      <ns0:c r="I15" s="19"/>
      <ns0:c r="J15" s="19"/>
      <ns0:c r="K15" s="19"/>
      <ns0:c r="L15" s="19"/>
      <ns0:c r="M15" s="19"/>
    </ns0:row>
    <ns0:row r="16" customFormat="false" ht="15" hidden="false" customHeight="true" outlineLevel="0" collapsed="false">
      <ns0:c r="A16" s="19"/>
      <ns0:c r="B16" s="29" t="s">
        <ns0:v>43</ns0:v>
      </ns0:c>
      <ns0:c r="C16" s="29"/>
      <ns0:c r="D16" s="29"/>
      <ns0:c r="E16" s="29"/>
      <ns0:c r="F16" s="19"/>
      <ns0:c r="G16" s="19"/>
      <ns0:c r="H16" s="19"/>
      <ns0:c r="I16" s="19"/>
      <ns0:c r="J16" s="19"/>
      <ns0:c r="K16" s="19"/>
      <ns0:c r="L16" s="19"/>
      <ns0:c r="M16" s="19"/>
    </ns0:row>
    <ns0:row r="17" customFormat="false" ht="15" hidden="false" customHeight="false" outlineLevel="0" collapsed="false">
      <ns0:c r="A17" s="19"/>
      <ns0:c r="B17" s="29"/>
      <ns0:c r="C17" s="29"/>
      <ns0:c r="D17" s="29"/>
      <ns0:c r="E17" s="29"/>
      <ns0:c r="F17" s="19"/>
      <ns0:c r="G17" s="19"/>
      <ns0:c r="H17" s="19"/>
      <ns0:c r="I17" s="19"/>
      <ns0:c r="J17" s="19"/>
      <ns0:c r="K17" s="19"/>
      <ns0:c r="L17" s="19"/>
      <ns0:c r="M17" s="19"/>
    </ns0:row>
    <ns0:row r="18" customFormat="false" ht="15" hidden="false" customHeight="false" outlineLevel="0" collapsed="false">
      <ns0:c r="A18" s="19"/>
      <ns0:c r="B18" s="19"/>
      <ns0:c r="C18" s="19"/>
      <ns0:c r="D18" s="19"/>
      <ns0:c r="E18" s="19"/>
      <ns0:c r="F18" s="19"/>
      <ns0:c r="G18" s="19"/>
      <ns0:c r="H18" s="19"/>
      <ns0:c r="I18" s="19"/>
      <ns0:c r="J18" s="19"/>
      <ns0:c r="K18" s="19"/>
      <ns0:c r="L18" s="19"/>
      <ns0:c r="M18" s="19"/>
    </ns0:row>
    <ns0:row r="19" customFormat="false" ht="15" hidden="false" customHeight="false" outlineLevel="0" collapsed="false">
      <ns0:c r="A19" s="19"/>
      <ns0:c r="B19" s="19"/>
      <ns0:c r="C19" s="19"/>
      <ns0:c r="D19" s="19"/>
      <ns0:c r="E19" s="19"/>
      <ns0:c r="F19" s="19"/>
      <ns0:c r="G19" s="19"/>
      <ns0:c r="H19" s="19"/>
      <ns0:c r="I19" s="19"/>
      <ns0:c r="J19" s="19"/>
      <ns0:c r="K19" s="19"/>
      <ns0:c r="L19" s="19"/>
      <ns0:c r="M19" s="19"/>
    </ns0:row>
    <ns0:row r="20" customFormat="false" ht="15" hidden="false" customHeight="true" outlineLevel="0" collapsed="false">
      <ns0:c r="A20" s="19"/>
      <ns0:c r="B20" s="30" t="s">
        <ns0:v>44</ns0:v>
      </ns0:c>
      <ns0:c r="C20" s="30"/>
      <ns0:c r="D20" s="30"/>
      <ns0:c r="E20" s="30"/>
      <ns0:c r="F20" s="30"/>
      <ns0:c r="G20" s="30"/>
      <ns0:c r="H20" s="30"/>
      <ns0:c r="I20" s="30"/>
      <ns0:c r="J20" s="30"/>
      <ns0:c r="K20" s="19"/>
      <ns0:c r="L20" s="19"/>
      <ns0:c r="M20" s="19"/>
    </ns0:row>
    <ns0:row r="21" customFormat="false" ht="26.85" hidden="false" customHeight="false" outlineLevel="0" collapsed="false">
      <ns0:c r="A21" s="19"/>
      <ns0:c r="B21" s="31" t="s">
        <ns0:v>45</ns0:v>
      </ns0:c>
      <ns0:c r="C21" s="31" t="s">
        <ns0:v>14</ns0:v>
      </ns0:c>
      <ns0:c r="D21" s="31" t="s">
        <ns0:v>19</ns0:v>
      </ns0:c>
      <ns0:c r="E21" s="31" t="s">
        <ns0:v>23</ns0:v>
      </ns0:c>
      <ns0:c r="F21" s="31" t="s">
        <ns0:v>28</ns0:v>
      </ns0:c>
      <ns0:c r="G21" s="19"/>
      <ns0:c r="H21" s="19"/>
      <ns0:c r="I21" s="19"/>
      <ns0:c r="J21" s="19"/>
      <ns0:c r="K21" s="19"/>
      <ns0:c r="L21" s="19"/>
      <ns0:c r="M21" s="19"/>
    </ns0:row>
    <ns0:row r="22" customFormat="false" ht="23.85" hidden="false" customHeight="false" outlineLevel="0" collapsed="false">
      <ns0:c r="A22" s="19"/>
      <ns0:c r="B22" s="12" t="s">
        <ns0:v>46</ns0:v>
      </ns0:c>
      <ns0:c r="C22" s="32" t="s">
        <ns0:v>47</ns0:v>
      </ns0:c>
      <ns0:c r="D22" s="32" t="s">
        <ns0:v>47</ns0:v>
      </ns0:c>
      <ns0:c r="E22" s="12" t="s">
        <ns0:v>48</ns0:v>
      </ns0:c>
      <ns0:c r="F22" s="12" t="s">
        <ns0:v>48</ns0:v>
      </ns0:c>
      <ns0:c r="G22" s="19"/>
      <ns0:c r="H22" s="19"/>
      <ns0:c r="I22" s="19"/>
      <ns0:c r="J22" s="19"/>
      <ns0:c r="K22" s="19"/>
      <ns0:c r="L22" s="19"/>
      <ns0:c r="M22" s="19"/>
    </ns0:row>
    <ns0:row r="23" customFormat="false" ht="15" hidden="false" customHeight="false" outlineLevel="0" collapsed="false">
      <ns0:c r="A23" s="19"/>
      <ns0:c r="B23" s="15" t="s">
        <ns0:v>49</ns0:v>
      </ns0:c>
      <ns0:c r="C23" s="33" t="s">
        <ns0:v>47</ns0:v>
      </ns0:c>
      <ns0:c r="D23" s="33" t="s">
        <ns0:v>47</ns0:v>
      </ns0:c>
      <ns0:c r="E23" s="33" t="s">
        <ns0:v>47</ns0:v>
      </ns0:c>
      <ns0:c r="F23" s="34" t="s">
        <ns0:v>50</ns0:v>
      </ns0:c>
      <ns0:c r="G23" s="19"/>
      <ns0:c r="H23" s="19"/>
      <ns0:c r="I23" s="19"/>
      <ns0:c r="J23" s="19"/>
      <ns0:c r="K23" s="19"/>
      <ns0:c r="L23" s="19"/>
      <ns0:c r="M23" s="19"/>
    </ns0:row>
    <ns0:row r="24" customFormat="false" ht="15" hidden="false" customHeight="false" outlineLevel="0" collapsed="false">
      <ns0:c r="A24" s="19"/>
      <ns0:c r="B24" s="12" t="s">
        <ns0:v>51</ns0:v>
      </ns0:c>
      <ns0:c r="C24" s="32" t="s">
        <ns0:v>47</ns0:v>
      </ns0:c>
      <ns0:c r="D24" s="32" t="s">
        <ns0:v>47</ns0:v>
      </ns0:c>
      <ns0:c r="E24" s="32" t="s">
        <ns0:v>47</ns0:v>
      </ns0:c>
      <ns0:c r="F24" s="12" t="s">
        <ns0:v>52</ns0:v>
      </ns0:c>
      <ns0:c r="G24" s="19"/>
      <ns0:c r="H24" s="19"/>
      <ns0:c r="I24" s="19"/>
      <ns0:c r="J24" s="19"/>
      <ns0:c r="K24" s="19"/>
      <ns0:c r="L24" s="19"/>
      <ns0:c r="M24" s="19"/>
    </ns0:row>
    <ns0:row r="25" customFormat="false" ht="15" hidden="false" customHeight="false" outlineLevel="0" collapsed="false">
      <ns0:c r="A25" s="19"/>
      <ns0:c r="B25" s="15" t="s">
        <ns0:v>53</ns0:v>
      </ns0:c>
      <ns0:c r="C25" s="33" t="s">
        <ns0:v>47</ns0:v>
      </ns0:c>
      <ns0:c r="D25" s="33" t="s">
        <ns0:v>47</ns0:v>
      </ns0:c>
      <ns0:c r="E25" s="34" t="s">
        <ns0:v>50</ns0:v>
      </ns0:c>
      <ns0:c r="F25" s="34" t="s">
        <ns0:v>50</ns0:v>
      </ns0:c>
      <ns0:c r="G25" s="19"/>
      <ns0:c r="H25" s="19"/>
      <ns0:c r="I25" s="19"/>
      <ns0:c r="J25" s="19"/>
      <ns0:c r="K25" s="19"/>
      <ns0:c r="L25" s="19"/>
      <ns0:c r="M25" s="19"/>
    </ns0:row>
    <ns0:row r="26" customFormat="false" ht="23.85" hidden="false" customHeight="false" outlineLevel="0" collapsed="false">
      <ns0:c r="A26" s="19"/>
      <ns0:c r="B26" s="12" t="s">
        <ns0:v>54</ns0:v>
      </ns0:c>
      <ns0:c r="C26" s="32" t="s">
        <ns0:v>47</ns0:v>
      </ns0:c>
      <ns0:c r="D26" s="35" t="s">
        <ns0:v>50</ns0:v>
      </ns0:c>
      <ns0:c r="E26" s="35" t="s">
        <ns0:v>50</ns0:v>
      </ns0:c>
      <ns0:c r="F26" s="35" t="s">
        <ns0:v>50</ns0:v>
      </ns0:c>
      <ns0:c r="G26" s="19"/>
      <ns0:c r="H26" s="19"/>
      <ns0:c r="I26" s="19"/>
      <ns0:c r="J26" s="19"/>
      <ns0:c r="K26" s="19"/>
      <ns0:c r="L26" s="19"/>
      <ns0:c r="M26" s="19"/>
    </ns0:row>
    <ns0:row r="27" customFormat="false" ht="15" hidden="false" customHeight="false" outlineLevel="0" collapsed="false">
      <ns0:c r="A27" s="19"/>
      <ns0:c r="B27" s="19"/>
      <ns0:c r="C27" s="19"/>
      <ns0:c r="D27" s="19"/>
      <ns0:c r="E27" s="19"/>
      <ns0:c r="F27" s="19"/>
      <ns0:c r="G27" s="19"/>
      <ns0:c r="H27" s="19"/>
      <ns0:c r="I27" s="19"/>
      <ns0:c r="J27" s="19"/>
      <ns0:c r="K27" s="19"/>
      <ns0:c r="L27" s="19"/>
      <ns0:c r="M27" s="19"/>
    </ns0:row>
    <ns0:row r="28" customFormat="false" ht="15" hidden="false" customHeight="false" outlineLevel="0" collapsed="false">
      <ns0:c r="A28" s="19"/>
      <ns0:c r="B28" s="19"/>
      <ns0:c r="C28" s="19"/>
      <ns0:c r="D28" s="19"/>
      <ns0:c r="E28" s="19"/>
      <ns0:c r="F28" s="19"/>
      <ns0:c r="G28" s="19"/>
      <ns0:c r="H28" s="19"/>
      <ns0:c r="I28" s="19"/>
      <ns0:c r="J28" s="19"/>
      <ns0:c r="K28" s="19"/>
      <ns0:c r="L28" s="19"/>
      <ns0:c r="M28" s="19"/>
    </ns0:row>
    <ns0:row r="29" customFormat="false" ht="15" hidden="false" customHeight="false" outlineLevel="0" collapsed="false">
      <ns0:c r="A29" s="19"/>
      <ns0:c r="B29" s="19"/>
      <ns0:c r="C29" s="19"/>
      <ns0:c r="D29" s="19"/>
      <ns0:c r="E29" s="19"/>
      <ns0:c r="F29" s="19"/>
      <ns0:c r="G29" s="19"/>
      <ns0:c r="H29" s="19"/>
      <ns0:c r="I29" s="19"/>
      <ns0:c r="J29" s="19"/>
      <ns0:c r="K29" s="19"/>
      <ns0:c r="L29" s="19"/>
      <ns0:c r="M29" s="19"/>
    </ns0:row>
    <ns0:row r="30" customFormat="false" ht="15" hidden="false" customHeight="false" outlineLevel="0" collapsed="false">
      <ns0:c r="A30" s="19"/>
      <ns0:c r="B30" s="19"/>
      <ns0:c r="C30" s="19"/>
      <ns0:c r="D30" s="19"/>
      <ns0:c r="E30" s="19"/>
      <ns0:c r="F30" s="19"/>
      <ns0:c r="G30" s="19"/>
      <ns0:c r="H30" s="19"/>
      <ns0:c r="I30" s="19"/>
      <ns0:c r="J30" s="19"/>
      <ns0:c r="K30" s="19"/>
      <ns0:c r="L30" s="19"/>
      <ns0:c r="M30" s="19"/>
    </ns0:row>
    <ns0:row r="31" customFormat="false" ht="15" hidden="false" customHeight="false" outlineLevel="0" collapsed="false">
      <ns0:c r="A31" s="19"/>
      <ns0:c r="B31" s="19"/>
      <ns0:c r="C31" s="19"/>
      <ns0:c r="D31" s="19"/>
      <ns0:c r="E31" s="19"/>
      <ns0:c r="F31" s="19"/>
      <ns0:c r="G31" s="19"/>
      <ns0:c r="H31" s="19"/>
      <ns0:c r="I31" s="19"/>
      <ns0:c r="J31" s="19"/>
      <ns0:c r="K31" s="19"/>
      <ns0:c r="L31" s="19"/>
      <ns0:c r="M31" s="19"/>
    </ns0:row>
    <ns0:row r="32" customFormat="false" ht="15" hidden="false" customHeight="false" outlineLevel="0" collapsed="false">
      <ns0:c r="A32" s="19"/>
      <ns0:c r="B32" s="19"/>
      <ns0:c r="C32" s="19"/>
      <ns0:c r="D32" s="19"/>
      <ns0:c r="E32" s="19"/>
      <ns0:c r="F32" s="19"/>
      <ns0:c r="G32" s="19"/>
      <ns0:c r="H32" s="19"/>
      <ns0:c r="I32" s="19"/>
      <ns0:c r="J32" s="19"/>
      <ns0:c r="K32" s="19"/>
      <ns0:c r="L32" s="19"/>
      <ns0:c r="M32" s="19"/>
    </ns0:row>
    <ns0:row r="33" customFormat="false" ht="15" hidden="false" customHeight="false" outlineLevel="0" collapsed="false">
      <ns0:c r="A33" s="19"/>
      <ns0:c r="B33" s="19"/>
      <ns0:c r="C33" s="19"/>
      <ns0:c r="D33" s="19"/>
      <ns0:c r="E33" s="19"/>
      <ns0:c r="F33" s="19"/>
      <ns0:c r="G33" s="19"/>
      <ns0:c r="H33" s="19"/>
      <ns0:c r="I33" s="19"/>
      <ns0:c r="J33" s="19"/>
      <ns0:c r="K33" s="19"/>
      <ns0:c r="L33" s="19"/>
      <ns0:c r="M33" s="19"/>
    </ns0:row>
    <ns0:row r="34" customFormat="false" ht="15" hidden="false" customHeight="false" outlineLevel="0" collapsed="false">
      <ns0:c r="A34" s="19"/>
      <ns0:c r="B34" s="19"/>
      <ns0:c r="C34" s="19"/>
      <ns0:c r="D34" s="19"/>
      <ns0:c r="E34" s="19"/>
      <ns0:c r="F34" s="19"/>
      <ns0:c r="G34" s="19"/>
      <ns0:c r="H34" s="19"/>
      <ns0:c r="I34" s="19"/>
      <ns0:c r="J34" s="19"/>
      <ns0:c r="K34" s="19"/>
      <ns0:c r="L34" s="19"/>
      <ns0:c r="M34" s="19"/>
    </ns0:row>
  </ns0:sheetData>
  <ns0:mergeCells count="11">
    <ns0:mergeCell ref="B2:L2"/>
    <ns0:mergeCell ref="B4:C4"/>
    <ns0:mergeCell ref="F4:G4"/>
    <ns0:mergeCell ref="B7:E8"/>
    <ns0:mergeCell ref="G7:J8"/>
    <ns0:mergeCell ref="B10:E11"/>
    <ns0:mergeCell ref="G10:J11"/>
    <ns0:mergeCell ref="B13:E14"/>
    <ns0:mergeCell ref="G13:J14"/>
    <ns0:mergeCell ref="B16:E17"/>
    <ns0:mergeCell ref="B20:J20"/>
  </ns0:mergeCells>
  <ns0:printOptions headings="false" gridLines="false" gridLinesSet="true" horizontalCentered="false" verticalCentered="false"/>
  <ns0:pageMargins left="0.75" right="0.75" top="1" bottom="1" header="0.511811023622047" footer="0.511811023622047"/>
  <ns0:pageSetup paperSize="9" scale="100" fitToWidth="1" fitToHeight="1" pageOrder="downThenOver" orientation="portrait" blackAndWhite="false" draft="false" cellComments="none" horizontalDpi="300" verticalDpi="300" copies="1"/>
  <ns0:headerFooter differentFirst="false" differentOddEven="false">
    <ns0:oddHeader/>
    <ns0:oddFooter/>
  </ns0:headerFooter>
  <ns0:drawing ns1:id="rId1"/>
</ns0:worksheet>
</file>

<file path=xl/worksheets/sheet4.xml><?xml version="1.0" encoding="utf-8"?>
<ns0:worksheet xmlns:ns0="http://schemas.openxmlformats.org/spreadsheetml/2006/main" xmlns:ns1="http://schemas.openxmlformats.org/officeDocument/2006/relationships">
  <ns0:sheetPr filterMode="false">
    <ns0:tabColor rgb="FF2ECC71"/>
    <ns0:pageSetUpPr fitToPage="false"/>
  </ns0:sheetPr>
  <ns0:dimension ref="B1:Q19"/>
  <ns0:sheetViews>
    <ns0: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ns0:pane xSplit="1" ySplit="3" topLeftCell="B4" activePane="bottomRight" state="frozen"/>
      <ns0:selection pane="topLeft" activeCell="A1" activeCellId="0" sqref="A1"/>
      <ns0:selection pane="topRight" activeCell="B1" activeCellId="0" sqref="B1"/>
      <ns0:selection pane="bottomLeft" activeCell="A4" activeCellId="0" sqref="A4"/>
      <ns0:selection pane="bottomRight" activeCell="A1" activeCellId="0" sqref="A1"/>
    </ns0:sheetView>
  </ns0:sheetViews>
  <ns0:sheetFormatPr defaultColWidth="8.6796875" defaultRowHeight="15" zeroHeight="false" outlineLevelRow="0" outlineLevelCol="0"/>
  <ns0:cols>
    <ns0:col collapsed="false" customWidth="true" hidden="false" outlineLevel="0" max="2" min="2" style="0" width="8"/>
    <ns0:col collapsed="false" customWidth="true" hidden="false" outlineLevel="0" max="3" min="3" style="0" width="14"/>
    <ns0:col collapsed="false" customWidth="true" hidden="false" outlineLevel="0" max="4" min="4" style="0" width="16"/>
    <ns0:col collapsed="false" customWidth="true" hidden="false" outlineLevel="0" max="5" min="5" style="0" width="8"/>
    <ns0:col collapsed="false" customWidth="true" hidden="false" outlineLevel="0" max="6" min="6" style="0" width="18"/>
    <ns0:col collapsed="false" customWidth="true" hidden="false" outlineLevel="0" max="7" min="7" style="0" width="14"/>
    <ns0:col collapsed="false" customWidth="true" hidden="false" outlineLevel="0" max="8" min="8" style="0" width="20"/>
    <ns0:col collapsed="false" customWidth="true" hidden="false" outlineLevel="0" max="9" min="9" style="0" width="14"/>
    <ns0:col collapsed="false" customWidth="true" hidden="false" outlineLevel="0" max="11" min="11" style="0" width="20"/>
    <ns0:col collapsed="false" customWidth="true" hidden="false" outlineLevel="0" max="12" min="12" style="0" width="12"/>
    <ns0:col collapsed="false" customWidth="true" hidden="false" outlineLevel="0" max="14" min="14" style="0" width="12"/>
  </ns0:cols>
  <ns0:sheetData>
    <ns0:row r="1" customFormat="false" ht="19.7" hidden="false" customHeight="true" outlineLevel="0" collapsed="false">
      <ns0:c r="B1" s="36" t="s">
        <ns0:v>55</ns0:v>
      </ns0:c>
      <ns0:c r="C1" s="36"/>
      <ns0:c r="D1" s="36"/>
      <ns0:c r="E1" s="36"/>
      <ns0:c r="F1" s="36"/>
      <ns0:c r="G1" s="36"/>
      <ns0:c r="H1" s="36"/>
      <ns0:c r="I1" s="36"/>
      <ns0:c r="K1" s="37" t="s">
        <ns0:v>56</ns0:v>
      </ns0:c>
      <ns0:c r="L1" s="37"/>
      <ns0:c r="P1" s="38" t="s">
        <ns0:v>57</ns0:v>
      </ns0:c>
      <ns0:c r="Q1" s="38" t="s">
        <ns0:v>58</ns0:v>
      </ns0:c>
    </ns0:row>
    <ns0:row r="2" customFormat="false" ht="15" hidden="false" customHeight="false" outlineLevel="0" collapsed="false">
      <ns0:c r="P2" s="39" t="n">
        <ns0:f aca="false">IF(I4="Свободен",C4,"")</ns0:f>
        <ns0:v>101</ns0:v>
      </ns0:c>
      <ns0:c r="Q2" s="0" t="n">
        <ns0:v>101</ns0:v>
      </ns0:c>
    </ns0:row>
    <ns0:row r="3" customFormat="false" ht="26.85" hidden="false" customHeight="true" outlineLevel="0" collapsed="false">
      <ns0:c r="B3" s="31" t="s">
        <ns0:v>59</ns0:v>
      </ns0:c>
      <ns0:c r="C3" s="31" t="s">
        <ns0:v>60</ns0:v>
      </ns0:c>
      <ns0:c r="D3" s="31" t="s">
        <ns0:v>61</ns0:v>
      </ns0:c>
      <ns0:c r="E3" s="31" t="s">
        <ns0:v>62</ns0:v>
      </ns0:c>
      <ns0:c r="F3" s="31" t="s">
        <ns0:v>63</ns0:v>
      </ns0:c>
      <ns0:c r="G3" s="31" t="s">
        <ns0:v>64</ns0:v>
      </ns0:c>
      <ns0:c r="H3" s="31" t="s">
        <ns0:v>65</ns0:v>
      </ns0:c>
      <ns0:c r="I3" s="31" t="s">
        <ns0:v>66</ns0:v>
      </ns0:c>
      <ns0:c r="K3" s="40" t="s">
        <ns0:v>67</ns0:v>
      </ns0:c>
      <ns0:c r="L3" s="40"/>
      <ns0:c r="M3" s="40"/>
      <ns0:c r="N3" s="40"/>
      <ns0:c r="P3" s="39" t="n">
        <ns0:f aca="false">IF(I5="Свободен",C5,"")</ns0:f>
        <ns0:v>102</ns0:v>
      </ns0:c>
      <ns0:c r="Q3" s="0" t="n">
        <ns0:v>102</ns0:v>
      </ns0:c>
    </ns0:row>
    <ns0:row r="4" customFormat="false" ht="15" hidden="false" customHeight="false" outlineLevel="0" collapsed="false">
      <ns0:c r="B4" s="12" t="n">
        <ns0:v>1</ns0:v>
      </ns0:c>
      <ns0:c r="C4" s="12" t="n">
        <ns0:v>101</ns0:v>
      </ns0:c>
      <ns0:c r="D4" s="12" t="s">
        <ns0:v>68</ns0:v>
      </ns0:c>
      <ns0:c r="E4" s="12" t="n">
        <ns0:v>1</ns0:v>
      </ns0:c>
      <ns0:c r="F4" s="12" t="n">
        <ns0:v>1</ns0:v>
      </ns0:c>
      <ns0:c r="G4" s="12" t="n">
        <ns0:v>18</ns0:v>
      </ns0:c>
      <ns0:c r="H4" s="41" t="n">
        <ns0:v>2500</ns0:v>
      </ns0:c>
      <ns0:c r="I4" s="12" t="s">
        <ns0:v>69</ns0:v>
      </ns0:c>
      <ns0:c r="K4" s="42" t="s">
        <ns0:v>70</ns0:v>
      </ns0:c>
      <ns0:c r="L4" s="43" t="n">
        <ns0:f aca="false">COUNTA(C4:C19)</ns0:f>
        <ns0:v>16</ns0:v>
      </ns0:c>
      <ns0:c r="P4" s="39" t="str">
        <ns0:f aca="false">IF(I6="Свободен",C6,"")</ns0:f>
        <ns0:v/>
      </ns0:c>
      <ns0:c r="Q4" s="0" t="n">
        <ns0:v>103</ns0:v>
      </ns0:c>
    </ns0:row>
    <ns0:row r="5" customFormat="false" ht="15" hidden="false" customHeight="false" outlineLevel="0" collapsed="false">
      <ns0:c r="B5" s="15" t="n">
        <ns0:v>2</ns0:v>
      </ns0:c>
      <ns0:c r="C5" s="15" t="n">
        <ns0:v>102</ns0:v>
      </ns0:c>
      <ns0:c r="D5" s="15" t="s">
        <ns0:v>68</ns0:v>
      </ns0:c>
      <ns0:c r="E5" s="15" t="n">
        <ns0:v>1</ns0:v>
      </ns0:c>
      <ns0:c r="F5" s="15" t="n">
        <ns0:v>2</ns0:v>
      </ns0:c>
      <ns0:c r="G5" s="15" t="n">
        <ns0:v>22</ns0:v>
      </ns0:c>
      <ns0:c r="H5" s="44" t="n">
        <ns0:v>3200</ns0:v>
      </ns0:c>
      <ns0:c r="I5" s="15" t="s">
        <ns0:v>69</ns0:v>
      </ns0:c>
      <ns0:c r="K5" s="42" t="s">
        <ns0:v>71</ns0:v>
      </ns0:c>
      <ns0:c r="L5" s="43" t="n">
        <ns0:f aca="false">COUNTIF(I4:I19,"Свободен")</ns0:f>
        <ns0:v>10</ns0:v>
      </ns0:c>
      <ns0:c r="P5" s="39" t="n">
        <ns0:f aca="false">IF(I7="Свободен",C7,"")</ns0:f>
        <ns0:v>104</ns0:v>
      </ns0:c>
      <ns0:c r="Q5" s="0" t="n">
        <ns0:v>104</ns0:v>
      </ns0:c>
    </ns0:row>
    <ns0:row r="6" customFormat="false" ht="15" hidden="false" customHeight="false" outlineLevel="0" collapsed="false">
      <ns0:c r="B6" s="12" t="n">
        <ns0:v>3</ns0:v>
      </ns0:c>
      <ns0:c r="C6" s="12" t="n">
        <ns0:v>103</ns0:v>
      </ns0:c>
      <ns0:c r="D6" s="12" t="s">
        <ns0:v>68</ns0:v>
      </ns0:c>
      <ns0:c r="E6" s="12" t="n">
        <ns0:v>1</ns0:v>
      </ns0:c>
      <ns0:c r="F6" s="12" t="n">
        <ns0:v>2</ns0:v>
      </ns0:c>
      <ns0:c r="G6" s="12" t="n">
        <ns0:v>22</ns0:v>
      </ns0:c>
      <ns0:c r="H6" s="41" t="n">
        <ns0:v>3200</ns0:v>
      </ns0:c>
      <ns0:c r="I6" s="12" t="s">
        <ns0:v>72</ns0:v>
      </ns0:c>
      <ns0:c r="K6" s="42" t="s">
        <ns0:v>73</ns0:v>
      </ns0:c>
      <ns0:c r="L6" s="43" t="n">
        <ns0:f aca="false">COUNTIF(I4:I19,"Занят")</ns0:f>
        <ns0:v>3</ns0:v>
      </ns0:c>
      <ns0:c r="P6" s="39" t="str">
        <ns0:f aca="false">IF(I8="Свободен",C8,"")</ns0:f>
        <ns0:v/>
      </ns0:c>
      <ns0:c r="Q6" s="0" t="n">
        <ns0:v>105</ns0:v>
      </ns0:c>
    </ns0:row>
    <ns0:row r="7" customFormat="false" ht="15" hidden="false" customHeight="false" outlineLevel="0" collapsed="false">
      <ns0:c r="B7" s="15" t="n">
        <ns0:v>4</ns0:v>
      </ns0:c>
      <ns0:c r="C7" s="15" t="n">
        <ns0:v>104</ns0:v>
      </ns0:c>
      <ns0:c r="D7" s="15" t="s">
        <ns0:v>68</ns0:v>
      </ns0:c>
      <ns0:c r="E7" s="15" t="n">
        <ns0:v>1</ns0:v>
      </ns0:c>
      <ns0:c r="F7" s="15" t="n">
        <ns0:v>1</ns0:v>
      </ns0:c>
      <ns0:c r="G7" s="15" t="n">
        <ns0:v>18</ns0:v>
      </ns0:c>
      <ns0:c r="H7" s="44" t="n">
        <ns0:v>2500</ns0:v>
      </ns0:c>
      <ns0:c r="I7" s="15" t="s">
        <ns0:v>69</ns0:v>
      </ns0:c>
      <ns0:c r="K7" s="42" t="s">
        <ns0:v>74</ns0:v>
      </ns0:c>
      <ns0:c r="L7" s="43" t="n">
        <ns0:f aca="false">COUNTIF(I4:I19,"Бронь")</ns0:f>
        <ns0:v>3</ns0:v>
      </ns0:c>
      <ns0:c r="P7" s="39" t="n">
        <ns0:f aca="false">IF(I9="Свободен",C9,"")</ns0:f>
        <ns0:v>201</ns0:v>
      </ns0:c>
      <ns0:c r="Q7" s="0" t="n">
        <ns0:v>201</ns0:v>
      </ns0:c>
    </ns0:row>
    <ns0:row r="8" customFormat="false" ht="15" hidden="false" customHeight="false" outlineLevel="0" collapsed="false">
      <ns0:c r="B8" s="12" t="n">
        <ns0:v>5</ns0:v>
      </ns0:c>
      <ns0:c r="C8" s="12" t="n">
        <ns0:v>105</ns0:v>
      </ns0:c>
      <ns0:c r="D8" s="12" t="s">
        <ns0:v>68</ns0:v>
      </ns0:c>
      <ns0:c r="E8" s="12" t="n">
        <ns0:v>1</ns0:v>
      </ns0:c>
      <ns0:c r="F8" s="12" t="n">
        <ns0:v>2</ns0:v>
      </ns0:c>
      <ns0:c r="G8" s="12" t="n">
        <ns0:v>24</ns0:v>
      </ns0:c>
      <ns0:c r="H8" s="41" t="n">
        <ns0:v>3500</ns0:v>
      </ns0:c>
      <ns0:c r="I8" s="12" t="s">
        <ns0:v>75</ns0:v>
      </ns0:c>
      <ns0:c r="K8" s="42"/>
      <ns0:c r="L8" s="43"/>
      <ns0:c r="P8" s="39" t="str">
        <ns0:f aca="false">IF(I10="Свободен",C10,"")</ns0:f>
        <ns0:v/>
      </ns0:c>
      <ns0:c r="Q8" s="0" t="n">
        <ns0:v>202</ns0:v>
      </ns0:c>
    </ns0:row>
    <ns0:row r="9" customFormat="false" ht="15" hidden="false" customHeight="false" outlineLevel="0" collapsed="false">
      <ns0:c r="B9" s="15" t="n">
        <ns0:v>6</ns0:v>
      </ns0:c>
      <ns0:c r="C9" s="15" t="n">
        <ns0:v>201</ns0:v>
      </ns0:c>
      <ns0:c r="D9" s="15" t="s">
        <ns0:v>76</ns0:v>
      </ns0:c>
      <ns0:c r="E9" s="15" t="n">
        <ns0:v>2</ns0:v>
      </ns0:c>
      <ns0:c r="F9" s="15" t="n">
        <ns0:v>2</ns0:v>
      </ns0:c>
      <ns0:c r="G9" s="15" t="n">
        <ns0:v>30</ns0:v>
      </ns0:c>
      <ns0:c r="H9" s="44" t="n">
        <ns0:v>4500</ns0:v>
      </ns0:c>
      <ns0:c r="I9" s="15" t="s">
        <ns0:v>69</ns0:v>
      </ns0:c>
      <ns0:c r="K9" s="42" t="s">
        <ns0:v>77</ns0:v>
      </ns0:c>
      <ns0:c r="L9" s="43" t="n">
        <ns0:f aca="false">COUNTIF(D4:D19,"Стандарт")</ns0:f>
        <ns0:v>5</ns0:v>
      </ns0:c>
      <ns0:c r="P9" s="39" t="n">
        <ns0:f aca="false">IF(I11="Свободен",C11,"")</ns0:f>
        <ns0:v>203</ns0:v>
      </ns0:c>
      <ns0:c r="Q9" s="0" t="n">
        <ns0:v>203</ns0:v>
      </ns0:c>
    </ns0:row>
    <ns0:row r="10" customFormat="false" ht="15" hidden="false" customHeight="false" outlineLevel="0" collapsed="false">
      <ns0:c r="B10" s="12" t="n">
        <ns0:v>7</ns0:v>
      </ns0:c>
      <ns0:c r="C10" s="12" t="n">
        <ns0:v>202</ns0:v>
      </ns0:c>
      <ns0:c r="D10" s="12" t="s">
        <ns0:v>76</ns0:v>
      </ns0:c>
      <ns0:c r="E10" s="12" t="n">
        <ns0:v>2</ns0:v>
      </ns0:c>
      <ns0:c r="F10" s="12" t="n">
        <ns0:v>2</ns0:v>
      </ns0:c>
      <ns0:c r="G10" s="12" t="n">
        <ns0:v>30</ns0:v>
      </ns0:c>
      <ns0:c r="H10" s="41" t="n">
        <ns0:v>4500</ns0:v>
      </ns0:c>
      <ns0:c r="I10" s="12" t="s">
        <ns0:v>72</ns0:v>
      </ns0:c>
      <ns0:c r="K10" s="42" t="s">
        <ns0:v>78</ns0:v>
      </ns0:c>
      <ns0:c r="L10" s="43" t="n">
        <ns0:f aca="false">COUNTIF(D4:D19,"Полулюкс")</ns0:f>
        <ns0:v>5</ns0:v>
      </ns0:c>
      <ns0:c r="P10" s="39" t="n">
        <ns0:f aca="false">IF(I12="Свободен",C12,"")</ns0:f>
        <ns0:v>204</ns0:v>
      </ns0:c>
      <ns0:c r="Q10" s="0" t="n">
        <ns0:v>204</ns0:v>
      </ns0:c>
    </ns0:row>
    <ns0:row r="11" customFormat="false" ht="15" hidden="false" customHeight="false" outlineLevel="0" collapsed="false">
      <ns0:c r="B11" s="15" t="n">
        <ns0:v>8</ns0:v>
      </ns0:c>
      <ns0:c r="C11" s="15" t="n">
        <ns0:v>203</ns0:v>
      </ns0:c>
      <ns0:c r="D11" s="15" t="s">
        <ns0:v>76</ns0:v>
      </ns0:c>
      <ns0:c r="E11" s="15" t="n">
        <ns0:v>2</ns0:v>
      </ns0:c>
      <ns0:c r="F11" s="15" t="n">
        <ns0:v>3</ns0:v>
      </ns0:c>
      <ns0:c r="G11" s="15" t="n">
        <ns0:v>35</ns0:v>
      </ns0:c>
      <ns0:c r="H11" s="44" t="n">
        <ns0:v>5200</ns0:v>
      </ns0:c>
      <ns0:c r="I11" s="15" t="s">
        <ns0:v>69</ns0:v>
      </ns0:c>
      <ns0:c r="K11" s="42" t="s">
        <ns0:v>79</ns0:v>
      </ns0:c>
      <ns0:c r="L11" s="43" t="n">
        <ns0:f aca="false">COUNTIF(D4:D19,"Люкс")</ns0:f>
        <ns0:v>4</ns0:v>
      </ns0:c>
      <ns0:c r="P11" s="39" t="str">
        <ns0:f aca="false">IF(I13="Свободен",C13,"")</ns0:f>
        <ns0:v/>
      </ns0:c>
      <ns0:c r="Q11" s="0" t="n">
        <ns0:v>205</ns0:v>
      </ns0:c>
    </ns0:row>
    <ns0:row r="12" customFormat="false" ht="15" hidden="false" customHeight="false" outlineLevel="0" collapsed="false">
      <ns0:c r="B12" s="12" t="n">
        <ns0:v>9</ns0:v>
      </ns0:c>
      <ns0:c r="C12" s="12" t="n">
        <ns0:v>204</ns0:v>
      </ns0:c>
      <ns0:c r="D12" s="12" t="s">
        <ns0:v>76</ns0:v>
      </ns0:c>
      <ns0:c r="E12" s="12" t="n">
        <ns0:v>2</ns0:v>
      </ns0:c>
      <ns0:c r="F12" s="12" t="n">
        <ns0:v>2</ns0:v>
      </ns0:c>
      <ns0:c r="G12" s="12" t="n">
        <ns0:v>28</ns0:v>
      </ns0:c>
      <ns0:c r="H12" s="41" t="n">
        <ns0:v>4200</ns0:v>
      </ns0:c>
      <ns0:c r="I12" s="12" t="s">
        <ns0:v>69</ns0:v>
      </ns0:c>
      <ns0:c r="K12" s="42" t="s">
        <ns0:v>80</ns0:v>
      </ns0:c>
      <ns0:c r="L12" s="43" t="n">
        <ns0:f aca="false">COUNTIF(D4:D19,"Президентский")</ns0:f>
        <ns0:v>2</ns0:v>
      </ns0:c>
      <ns0:c r="P12" s="39" t="n">
        <ns0:f aca="false">IF(I14="Свободен",C14,"")</ns0:f>
        <ns0:v>301</ns0:v>
      </ns0:c>
      <ns0:c r="Q12" s="0" t="n">
        <ns0:v>301</ns0:v>
      </ns0:c>
    </ns0:row>
    <ns0:row r="13" customFormat="false" ht="15" hidden="false" customHeight="false" outlineLevel="0" collapsed="false">
      <ns0:c r="B13" s="15" t="n">
        <ns0:v>10</ns0:v>
      </ns0:c>
      <ns0:c r="C13" s="15" t="n">
        <ns0:v>205</ns0:v>
      </ns0:c>
      <ns0:c r="D13" s="15" t="s">
        <ns0:v>76</ns0:v>
      </ns0:c>
      <ns0:c r="E13" s="15" t="n">
        <ns0:v>2</ns0:v>
      </ns0:c>
      <ns0:c r="F13" s="15" t="n">
        <ns0:v>3</ns0:v>
      </ns0:c>
      <ns0:c r="G13" s="15" t="n">
        <ns0:v>35</ns0:v>
      </ns0:c>
      <ns0:c r="H13" s="44" t="n">
        <ns0:v>5200</ns0:v>
      </ns0:c>
      <ns0:c r="I13" s="15" t="s">
        <ns0:v>75</ns0:v>
      </ns0:c>
      <ns0:c r="K13" s="42"/>
      <ns0:c r="L13" s="43"/>
      <ns0:c r="P13" s="39" t="str">
        <ns0:f aca="false">IF(I15="Свободен",C15,"")</ns0:f>
        <ns0:v/>
      </ns0:c>
      <ns0:c r="Q13" s="0" t="n">
        <ns0:v>302</ns0:v>
      </ns0:c>
    </ns0:row>
    <ns0:row r="14" customFormat="false" ht="15" hidden="false" customHeight="false" outlineLevel="0" collapsed="false">
      <ns0:c r="B14" s="12" t="n">
        <ns0:v>11</ns0:v>
      </ns0:c>
      <ns0:c r="C14" s="12" t="n">
        <ns0:v>301</ns0:v>
      </ns0:c>
      <ns0:c r="D14" s="12" t="s">
        <ns0:v>81</ns0:v>
      </ns0:c>
      <ns0:c r="E14" s="12" t="n">
        <ns0:v>3</ns0:v>
      </ns0:c>
      <ns0:c r="F14" s="12" t="n">
        <ns0:v>2</ns0:v>
      </ns0:c>
      <ns0:c r="G14" s="12" t="n">
        <ns0:v>45</ns0:v>
      </ns0:c>
      <ns0:c r="H14" s="41" t="n">
        <ns0:v>7500</ns0:v>
      </ns0:c>
      <ns0:c r="I14" s="12" t="s">
        <ns0:v>69</ns0:v>
      </ns0:c>
      <ns0:c r="K14" s="42" t="s">
        <ns0:v>82</ns0:v>
      </ns0:c>
      <ns0:c r="L14" s="45" t="n">
        <ns0:f aca="false">AVERAGE(H4:H19)</ns0:f>
        <ns0:v>6656.25</ns0:v>
      </ns0:c>
      <ns0:c r="P14" s="39" t="n">
        <ns0:f aca="false">IF(I16="Свободен",C16,"")</ns0:f>
        <ns0:v>303</ns0:v>
      </ns0:c>
      <ns0:c r="Q14" s="0" t="n">
        <ns0:v>303</ns0:v>
      </ns0:c>
    </ns0:row>
    <ns0:row r="15" customFormat="false" ht="15" hidden="false" customHeight="false" outlineLevel="0" collapsed="false">
      <ns0:c r="B15" s="15" t="n">
        <ns0:v>12</ns0:v>
      </ns0:c>
      <ns0:c r="C15" s="15" t="n">
        <ns0:v>302</ns0:v>
      </ns0:c>
      <ns0:c r="D15" s="15" t="s">
        <ns0:v>81</ns0:v>
      </ns0:c>
      <ns0:c r="E15" s="15" t="n">
        <ns0:v>3</ns0:v>
      </ns0:c>
      <ns0:c r="F15" s="15" t="n">
        <ns0:v>3</ns0:v>
      </ns0:c>
      <ns0:c r="G15" s="15" t="n">
        <ns0:v>50</ns0:v>
      </ns0:c>
      <ns0:c r="H15" s="44" t="n">
        <ns0:v>8500</ns0:v>
      </ns0:c>
      <ns0:c r="I15" s="15" t="s">
        <ns0:v>72</ns0:v>
      </ns0:c>
      <ns0:c r="K15" s="42" t="s">
        <ns0:v>83</ns0:v>
      </ns0:c>
      <ns0:c r="L15" s="45" t="n">
        <ns0:f aca="false">MIN(H4:H19)</ns0:f>
        <ns0:v>2500</ns0:v>
      </ns0:c>
      <ns0:c r="P15" s="39" t="n">
        <ns0:f aca="false">IF(I17="Свободен",C17,"")</ns0:f>
        <ns0:v>304</ns0:v>
      </ns0:c>
      <ns0:c r="Q15" s="0" t="n">
        <ns0:v>304</ns0:v>
      </ns0:c>
    </ns0:row>
    <ns0:row r="16" customFormat="false" ht="15" hidden="false" customHeight="false" outlineLevel="0" collapsed="false">
      <ns0:c r="B16" s="12" t="n">
        <ns0:v>13</ns0:v>
      </ns0:c>
      <ns0:c r="C16" s="12" t="n">
        <ns0:v>303</ns0:v>
      </ns0:c>
      <ns0:c r="D16" s="12" t="s">
        <ns0:v>81</ns0:v>
      </ns0:c>
      <ns0:c r="E16" s="12" t="n">
        <ns0:v>3</ns0:v>
      </ns0:c>
      <ns0:c r="F16" s="12" t="n">
        <ns0:v>2</ns0:v>
      </ns0:c>
      <ns0:c r="G16" s="12" t="n">
        <ns0:v>45</ns0:v>
      </ns0:c>
      <ns0:c r="H16" s="41" t="n">
        <ns0:v>7500</ns0:v>
      </ns0:c>
      <ns0:c r="I16" s="12" t="s">
        <ns0:v>69</ns0:v>
      </ns0:c>
      <ns0:c r="K16" s="42" t="s">
        <ns0:v>84</ns0:v>
      </ns0:c>
      <ns0:c r="L16" s="45" t="n">
        <ns0:f aca="false">MAX(H4:H19)</ns0:f>
        <ns0:v>20000</ns0:v>
      </ns0:c>
      <ns0:c r="P16" s="39" t="n">
        <ns0:f aca="false">IF(I18="Свободен",C18,"")</ns0:f>
        <ns0:v>401</ns0:v>
      </ns0:c>
      <ns0:c r="Q16" s="0" t="n">
        <ns0:v>401</ns0:v>
      </ns0:c>
    </ns0:row>
    <ns0:row r="17" customFormat="false" ht="15" hidden="false" customHeight="false" outlineLevel="0" collapsed="false">
      <ns0:c r="B17" s="15" t="n">
        <ns0:v>14</ns0:v>
      </ns0:c>
      <ns0:c r="C17" s="15" t="n">
        <ns0:v>304</ns0:v>
      </ns0:c>
      <ns0:c r="D17" s="15" t="s">
        <ns0:v>81</ns0:v>
      </ns0:c>
      <ns0:c r="E17" s="15" t="n">
        <ns0:v>3</ns0:v>
      </ns0:c>
      <ns0:c r="F17" s="15" t="n">
        <ns0:v>4</ns0:v>
      </ns0:c>
      <ns0:c r="G17" s="15" t="n">
        <ns0:v>60</ns0:v>
      </ns0:c>
      <ns0:c r="H17" s="44" t="n">
        <ns0:v>9500</ns0:v>
      </ns0:c>
      <ns0:c r="I17" s="15" t="s">
        <ns0:v>69</ns0:v>
      </ns0:c>
      <ns0:c r="P17" s="39" t="str">
        <ns0:f aca="false">IF(I19="Свободен",C19,"")</ns0:f>
        <ns0:v/>
      </ns0:c>
      <ns0:c r="Q17" s="0" t="n">
        <ns0:v>402</ns0:v>
      </ns0:c>
    </ns0:row>
    <ns0:row r="18" customFormat="false" ht="15" hidden="false" customHeight="false" outlineLevel="0" collapsed="false">
      <ns0:c r="B18" s="12" t="n">
        <ns0:v>15</ns0:v>
      </ns0:c>
      <ns0:c r="C18" s="12" t="n">
        <ns0:v>401</ns0:v>
      </ns0:c>
      <ns0:c r="D18" s="12" t="s">
        <ns0:v>85</ns0:v>
      </ns0:c>
      <ns0:c r="E18" s="12" t="n">
        <ns0:v>4</ns0:v>
      </ns0:c>
      <ns0:c r="F18" s="12" t="n">
        <ns0:v>2</ns0:v>
      </ns0:c>
      <ns0:c r="G18" s="12" t="n">
        <ns0:v>80</ns0:v>
      </ns0:c>
      <ns0:c r="H18" s="41" t="n">
        <ns0:v>15000</ns0:v>
      </ns0:c>
      <ns0:c r="I18" s="12" t="s">
        <ns0:v>69</ns0:v>
      </ns0:c>
    </ns0:row>
    <ns0:row r="19" customFormat="false" ht="15" hidden="false" customHeight="false" outlineLevel="0" collapsed="false">
      <ns0:c r="B19" s="15" t="n">
        <ns0:v>16</ns0:v>
      </ns0:c>
      <ns0:c r="C19" s="15" t="n">
        <ns0:v>402</ns0:v>
      </ns0:c>
      <ns0:c r="D19" s="15" t="s">
        <ns0:v>85</ns0:v>
      </ns0:c>
      <ns0:c r="E19" s="15" t="n">
        <ns0:v>4</ns0:v>
      </ns0:c>
      <ns0:c r="F19" s="15" t="n">
        <ns0:v>4</ns0:v>
      </ns0:c>
      <ns0:c r="G19" s="15" t="n">
        <ns0:v>100</ns0:v>
      </ns0:c>
      <ns0:c r="H19" s="44" t="n">
        <ns0:v>20000</ns0:v>
      </ns0:c>
      <ns0:c r="I19" s="15" t="s">
        <ns0:v>75</ns0:v>
      </ns0:c>
    </ns0:row>
  </ns0:sheetData>
  <ns0:mergeCells count="3">
    <ns0:mergeCell ref="B1:I1"/>
    <ns0:mergeCell ref="K1:L1"/>
    <ns0:mergeCell ref="K3:N3"/>
  </ns0:mergeCells>
  <ns0:conditionalFormatting sqref="I4:I19">
    <ns0:cfRule type="cellIs" priority="2" operator="equal" aboveAverage="0" equalAverage="0" bottom="0" percent="0" rank="0" text="" dxfId="0">
      <ns0:formula>"Свободен"</ns0:formula>
    </ns0:cfRule>
    <ns0:cfRule type="cellIs" priority="3" operator="equal" aboveAverage="0" equalAverage="0" bottom="0" percent="0" rank="0" text="" dxfId="1">
      <ns0:formula>"Занят"</ns0:formula>
    </ns0:cfRule>
    <ns0:cfRule type="cellIs" priority="4" operator="equal" aboveAverage="0" equalAverage="0" bottom="0" percent="0" rank="0" text="" dxfId="2">
      <ns0:formula>"Бронь"</ns0:formula>
    </ns0:cfRule>
  </ns0:conditionalFormatting>
  <ns0:dataValidations count="2">
    <ns0:dataValidation allowBlank="false" error="Выберите статус из списка" errorStyle="stop" errorTitle="Ошибка ввода" operator="between" showDropDown="false" showErrorMessage="false" showInputMessage="false" sqref="I4:I19" type="list">
      <ns0:formula1>"Свободен,Занят,Бронь"</ns0:formula1>
      <ns0:formula2>0</ns0:formula2>
    </ns0:dataValidation>
    <ns0:dataValidation allowBlank="false" errorStyle="stop" operator="between" showDropDown="false" showErrorMessage="false" showInputMessage="false" sqref="D4:D19" type="list">
      <ns0:formula1>"Стандарт,Полулюкс,Люкс,Президентский"</ns0:formula1>
      <ns0:formula2>0</ns0:formula2>
    </ns0:dataValidation>
  </ns0:dataValidations>
  <ns0:printOptions headings="false" gridLines="false" gridLinesSet="true" horizontalCentered="false" verticalCentered="false"/>
  <ns0:pageMargins left="0.75" right="0.75" top="1" bottom="1" header="0.511811023622047" footer="0.511811023622047"/>
  <ns0:pageSetup paperSize="9" scale="100" fitToWidth="1" fitToHeight="1" pageOrder="downThenOver" orientation="portrait" blackAndWhite="false" draft="false" cellComments="none" horizontalDpi="300" verticalDpi="300" copies="1"/>
  <ns0:headerFooter differentFirst="false" differentOddEven="false">
    <ns0:oddHeader/>
    <ns0:oddFooter/>
  </ns0:headerFooter>
  <ns0:drawing ns1:id="rId1"/>
</ns0:worksheet>
</file>

<file path=xl/worksheets/sheet5.xml><?xml version="1.0" encoding="utf-8"?>
<ns0:worksheet xmlns:ns0="http://schemas.openxmlformats.org/spreadsheetml/2006/main" xmlns:ns1="http://schemas.openxmlformats.org/officeDocument/2006/relationships">
  <ns0:sheetPr filterMode="false">
    <ns0:tabColor rgb="FFE67E22"/>
    <ns0:pageSetUpPr fitToPage="false"/>
  </ns0:sheetPr>
  <ns0:dimension ref="B1:N17"/>
  <ns0:sheetViews>
    <ns0: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ns0:pane xSplit="1" ySplit="7" topLeftCell="B8" activePane="bottomRight" state="frozen"/>
      <ns0:selection pane="topLeft" activeCell="A1" activeCellId="0" sqref="A1"/>
      <ns0:selection pane="topRight" activeCell="B1" activeCellId="0" sqref="B1"/>
      <ns0:selection pane="bottomLeft" activeCell="A8" activeCellId="0" sqref="A8"/>
      <ns0:selection pane="bottomRight" activeCell="A1" activeCellId="0" sqref="A1"/>
    </ns0:sheetView>
  </ns0:sheetViews>
  <ns0:sheetFormatPr defaultColWidth="8.6796875" defaultRowHeight="15" zeroHeight="false" outlineLevelRow="0" outlineLevelCol="0"/>
  <ns0:cols>
    <ns0:col collapsed="false" customWidth="true" hidden="false" outlineLevel="0" max="2" min="2" style="0" width="8"/>
    <ns0:col collapsed="false" customWidth="true" hidden="false" outlineLevel="0" max="3" min="3" style="0" width="10"/>
    <ns0:col collapsed="false" customWidth="true" hidden="false" outlineLevel="0" max="4" min="4" style="0" width="30"/>
    <ns0:col collapsed="false" customWidth="true" hidden="false" outlineLevel="0" max="6" min="5" style="0" width="20"/>
    <ns0:col collapsed="false" customWidth="true" hidden="false" outlineLevel="0" max="7" min="7" style="0" width="22"/>
    <ns0:col collapsed="false" customWidth="true" hidden="false" outlineLevel="0" max="8" min="8" style="0" width="16"/>
    <ns0:col collapsed="false" customWidth="true" hidden="false" outlineLevel="0" max="9" min="9" style="0" width="20"/>
    <ns0:col collapsed="false" customWidth="true" hidden="false" outlineLevel="0" max="10" min="10" style="0" width="14"/>
  </ns0:cols>
  <ns0:sheetData>
    <ns0:row r="1" customFormat="false" ht="19.7" hidden="false" customHeight="true" outlineLevel="0" collapsed="false">
      <ns0:c r="B1" s="36" t="s">
        <ns0:v>86</ns0:v>
      </ns0:c>
      <ns0:c r="C1" s="36"/>
      <ns0:c r="D1" s="36"/>
      <ns0:c r="E1" s="36"/>
      <ns0:c r="F1" s="36"/>
      <ns0:c r="G1" s="36"/>
      <ns0:c r="H1" s="36"/>
      <ns0:c r="I1" s="36"/>
      <ns0:c r="K1" s="37" t="s">
        <ns0:v>56</ns0:v>
      </ns0:c>
      <ns0:c r="L1" s="37"/>
    </ns0:row>
    <ns0:row r="3" customFormat="false" ht="15" hidden="false" customHeight="true" outlineLevel="0" collapsed="false">
      <ns0:c r="B3" s="40" t="s">
        <ns0:v>87</ns0:v>
      </ns0:c>
      <ns0:c r="C3" s="40"/>
      <ns0:c r="D3" s="40"/>
      <ns0:c r="E3" s="40"/>
      <ns0:c r="F3" s="40"/>
      <ns0:c r="G3" s="40"/>
      <ns0:c r="H3" s="40"/>
      <ns0:c r="I3" s="40"/>
    </ns0:row>
    <ns0:row r="4" customFormat="false" ht="15" hidden="false" customHeight="false" outlineLevel="0" collapsed="false">
      <ns0:c r="B4" s="46" t="s">
        <ns0:v>88</ns0:v>
      </ns0:c>
      <ns0:c r="C4" s="46" t="s">
        <ns0:v>89</ns0:v>
      </ns0:c>
      <ns0:c r="D4" s="46" t="s">
        <ns0:v>90</ns0:v>
      </ns0:c>
      <ns0:c r="E4" s="46" t="s">
        <ns0:v>91</ns0:v>
      </ns0:c>
      <ns0:c r="F4" s="46" t="s">
        <ns0:v>92</ns0:v>
      </ns0:c>
      <ns0:c r="G4" s="46" t="s">
        <ns0:v>93</ns0:v>
      </ns0:c>
      <ns0:c r="H4" s="46" t="s">
        <ns0:v>94</ns0:v>
      </ns0:c>
    </ns0:row>
    <ns0:row r="5" customFormat="false" ht="26.85" hidden="false" customHeight="false" outlineLevel="0" collapsed="false">
      <ns0:c r="B5" s="47"/>
      <ns0:c r="C5" s="47"/>
      <ns0:c r="D5" s="47"/>
      <ns0:c r="E5" s="47"/>
      <ns0:c r="F5" s="47"/>
      <ns0:c r="G5" s="47"/>
      <ns0:c r="H5" s="47"/>
      <ns0:c r="J5" s="48" t="s">
        <ns0:v>95</ns0:v>
      </ns0:c>
    </ns0:row>
    <ns0:row r="7" customFormat="false" ht="26.85" hidden="false" customHeight="false" outlineLevel="0" collapsed="false">
      <ns0:c r="B7" s="31" t="s">
        <ns0:v>59</ns0:v>
      </ns0:c>
      <ns0:c r="C7" s="31" t="s">
        <ns0:v>96</ns0:v>
      </ns0:c>
      <ns0:c r="D7" s="31" t="s">
        <ns0:v>11</ns0:v>
      </ns0:c>
      <ns0:c r="E7" s="31" t="s">
        <ns0:v>97</ns0:v>
      </ns0:c>
      <ns0:c r="F7" s="31" t="s">
        <ns0:v>98</ns0:v>
      </ns0:c>
      <ns0:c r="G7" s="31" t="s">
        <ns0:v>99</ns0:v>
      </ns0:c>
      <ns0:c r="H7" s="31" t="s">
        <ns0:v>100</ns0:v>
      </ns0:c>
      <ns0:c r="I7" s="31" t="s">
        <ns0:v>101</ns0:v>
      </ns0:c>
      <ns0:c r="N7" s="38" t="s">
        <ns0:v>102</ns0:v>
      </ns0:c>
    </ns0:row>
    <ns0:row r="8" customFormat="false" ht="15" hidden="false" customHeight="false" outlineLevel="0" collapsed="false">
      <ns0:c r="B8" s="12" t="n">
        <ns0:v>1</ns0:v>
      </ns0:c>
      <ns0:c r="C8" s="12" t="s">
        <ns0:v>103</ns0:v>
      </ns0:c>
      <ns0:c r="D8" s="12" t="s">
        <ns0:v>104</ns0:v>
      </ns0:c>
      <ns0:c r="E8" s="12" t="s">
        <ns0:v>105</ns0:v>
      </ns0:c>
      <ns0:c r="F8" s="12" t="s">
        <ns0:v>106</ns0:v>
      </ns0:c>
      <ns0:c r="G8" s="12" t="s">
        <ns0:v>107</ns0:v>
      </ns0:c>
      <ns0:c r="H8" s="12" t="s">
        <ns0:v>108</ns0:v>
      </ns0:c>
      <ns0:c r="I8" s="12" t="s">
        <ns0:v>109</ns0:v>
      </ns0:c>
      <ns0:c r="N8" s="49" t="s">
        <ns0:v>104</ns0:v>
      </ns0:c>
    </ns0:row>
    <ns0:row r="9" customFormat="false" ht="15" hidden="false" customHeight="false" outlineLevel="0" collapsed="false">
      <ns0:c r="B9" s="15" t="n">
        <ns0:v>2</ns0:v>
      </ns0:c>
      <ns0:c r="C9" s="15" t="s">
        <ns0:v>110</ns0:v>
      </ns0:c>
      <ns0:c r="D9" s="15" t="s">
        <ns0:v>111</ns0:v>
      </ns0:c>
      <ns0:c r="E9" s="15" t="s">
        <ns0:v>112</ns0:v>
      </ns0:c>
      <ns0:c r="F9" s="15" t="s">
        <ns0:v>113</ns0:v>
      </ns0:c>
      <ns0:c r="G9" s="15" t="s">
        <ns0:v>114</ns0:v>
      </ns0:c>
      <ns0:c r="H9" s="15" t="s">
        <ns0:v>115</ns0:v>
      </ns0:c>
      <ns0:c r="I9" s="15"/>
      <ns0:c r="N9" s="49" t="s">
        <ns0:v>111</ns0:v>
      </ns0:c>
    </ns0:row>
    <ns0:row r="10" customFormat="false" ht="15" hidden="false" customHeight="false" outlineLevel="0" collapsed="false">
      <ns0:c r="B10" s="12" t="n">
        <ns0:v>3</ns0:v>
      </ns0:c>
      <ns0:c r="C10" s="12" t="s">
        <ns0:v>116</ns0:v>
      </ns0:c>
      <ns0:c r="D10" s="12" t="s">
        <ns0:v>117</ns0:v>
      </ns0:c>
      <ns0:c r="E10" s="12" t="s">
        <ns0:v>118</ns0:v>
      </ns0:c>
      <ns0:c r="F10" s="12" t="s">
        <ns0:v>119</ns0:v>
      </ns0:c>
      <ns0:c r="G10" s="12" t="s">
        <ns0:v>120</ns0:v>
      </ns0:c>
      <ns0:c r="H10" s="12" t="s">
        <ns0:v>121</ns0:v>
      </ns0:c>
      <ns0:c r="I10" s="12" t="s">
        <ns0:v>122</ns0:v>
      </ns0:c>
      <ns0:c r="N10" s="49" t="s">
        <ns0:v>117</ns0:v>
      </ns0:c>
    </ns0:row>
    <ns0:row r="11" customFormat="false" ht="15" hidden="false" customHeight="false" outlineLevel="0" collapsed="false">
      <ns0:c r="B11" s="15" t="n">
        <ns0:v>4</ns0:v>
      </ns0:c>
      <ns0:c r="C11" s="15" t="s">
        <ns0:v>123</ns0:v>
      </ns0:c>
      <ns0:c r="D11" s="15" t="s">
        <ns0:v>124</ns0:v>
      </ns0:c>
      <ns0:c r="E11" s="15" t="s">
        <ns0:v>125</ns0:v>
      </ns0:c>
      <ns0:c r="F11" s="15" t="s">
        <ns0:v>126</ns0:v>
      </ns0:c>
      <ns0:c r="G11" s="15" t="s">
        <ns0:v>127</ns0:v>
      </ns0:c>
      <ns0:c r="H11" s="15" t="s">
        <ns0:v>128</ns0:v>
      </ns0:c>
      <ns0:c r="I11" s="15"/>
      <ns0:c r="N11" s="49" t="s">
        <ns0:v>124</ns0:v>
      </ns0:c>
    </ns0:row>
    <ns0:row r="12" customFormat="false" ht="15" hidden="false" customHeight="false" outlineLevel="0" collapsed="false">
      <ns0:c r="B12" s="12" t="n">
        <ns0:v>5</ns0:v>
      </ns0:c>
      <ns0:c r="C12" s="12" t="s">
        <ns0:v>129</ns0:v>
      </ns0:c>
      <ns0:c r="D12" s="12" t="s">
        <ns0:v>130</ns0:v>
      </ns0:c>
      <ns0:c r="E12" s="12" t="s">
        <ns0:v>131</ns0:v>
      </ns0:c>
      <ns0:c r="F12" s="12" t="s">
        <ns0:v>132</ns0:v>
      </ns0:c>
      <ns0:c r="G12" s="12" t="s">
        <ns0:v>133</ns0:v>
      </ns0:c>
      <ns0:c r="H12" s="12" t="s">
        <ns0:v>134</ns0:v>
      </ns0:c>
      <ns0:c r="I12" s="12" t="s">
        <ns0:v>135</ns0:v>
      </ns0:c>
      <ns0:c r="N12" s="49" t="s">
        <ns0:v>130</ns0:v>
      </ns0:c>
    </ns0:row>
    <ns0:row r="13" customFormat="false" ht="15" hidden="false" customHeight="false" outlineLevel="0" collapsed="false">
      <ns0:c r="B13" s="15" t="n">
        <ns0:v>6</ns0:v>
      </ns0:c>
      <ns0:c r="C13" s="15" t="s">
        <ns0:v>136</ns0:v>
      </ns0:c>
      <ns0:c r="D13" s="15" t="s">
        <ns0:v>137</ns0:v>
      </ns0:c>
      <ns0:c r="E13" s="15" t="s">
        <ns0:v>138</ns0:v>
      </ns0:c>
      <ns0:c r="F13" s="15" t="s">
        <ns0:v>139</ns0:v>
      </ns0:c>
      <ns0:c r="G13" s="15" t="s">
        <ns0:v>140</ns0:v>
      </ns0:c>
      <ns0:c r="H13" s="15" t="s">
        <ns0:v>141</ns0:v>
      </ns0:c>
      <ns0:c r="I13" s="15"/>
      <ns0:c r="N13" s="49" t="s">
        <ns0:v>137</ns0:v>
      </ns0:c>
    </ns0:row>
    <ns0:row r="14" customFormat="false" ht="15" hidden="false" customHeight="false" outlineLevel="0" collapsed="false">
      <ns0:c r="B14" s="12" t="n">
        <ns0:v>7</ns0:v>
      </ns0:c>
      <ns0:c r="C14" s="12" t="s">
        <ns0:v>142</ns0:v>
      </ns0:c>
      <ns0:c r="D14" s="12" t="s">
        <ns0:v>143</ns0:v>
      </ns0:c>
      <ns0:c r="E14" s="12" t="s">
        <ns0:v>144</ns0:v>
      </ns0:c>
      <ns0:c r="F14" s="12" t="s">
        <ns0:v>145</ns0:v>
      </ns0:c>
      <ns0:c r="G14" s="12" t="s">
        <ns0:v>146</ns0:v>
      </ns0:c>
      <ns0:c r="H14" s="12" t="s">
        <ns0:v>147</ns0:v>
      </ns0:c>
      <ns0:c r="I14" s="12"/>
      <ns0:c r="N14" s="49" t="s">
        <ns0:v>143</ns0:v>
      </ns0:c>
    </ns0:row>
    <ns0:row r="15" customFormat="false" ht="15" hidden="false" customHeight="false" outlineLevel="0" collapsed="false">
      <ns0:c r="B15" s="15" t="n">
        <ns0:v>8</ns0:v>
      </ns0:c>
      <ns0:c r="C15" s="15" t="s">
        <ns0:v>148</ns0:v>
      </ns0:c>
      <ns0:c r="D15" s="15" t="s">
        <ns0:v>149</ns0:v>
      </ns0:c>
      <ns0:c r="E15" s="15" t="s">
        <ns0:v>150</ns0:v>
      </ns0:c>
      <ns0:c r="F15" s="15" t="s">
        <ns0:v>151</ns0:v>
      </ns0:c>
      <ns0:c r="G15" s="15" t="s">
        <ns0:v>152</ns0:v>
      </ns0:c>
      <ns0:c r="H15" s="15" t="s">
        <ns0:v>153</ns0:v>
      </ns0:c>
      <ns0:c r="I15" s="15" t="s">
        <ns0:v>109</ns0:v>
      </ns0:c>
      <ns0:c r="N15" s="49" t="s">
        <ns0:v>149</ns0:v>
      </ns0:c>
    </ns0:row>
    <ns0:row r="16" customFormat="false" ht="15" hidden="false" customHeight="false" outlineLevel="0" collapsed="false">
      <ns0:c r="B16" s="12" t="n">
        <ns0:v>9</ns0:v>
      </ns0:c>
      <ns0:c r="C16" s="12" t="s">
        <ns0:v>154</ns0:v>
      </ns0:c>
      <ns0:c r="D16" s="12" t="s">
        <ns0:v>155</ns0:v>
      </ns0:c>
      <ns0:c r="E16" s="12" t="s">
        <ns0:v>156</ns0:v>
      </ns0:c>
      <ns0:c r="F16" s="12" t="s">
        <ns0:v>157</ns0:v>
      </ns0:c>
      <ns0:c r="G16" s="12" t="s">
        <ns0:v>158</ns0:v>
      </ns0:c>
      <ns0:c r="H16" s="12" t="s">
        <ns0:v>159</ns0:v>
      </ns0:c>
      <ns0:c r="I16" s="12"/>
      <ns0:c r="N16" s="49" t="s">
        <ns0:v>155</ns0:v>
      </ns0:c>
    </ns0:row>
    <ns0:row r="17" customFormat="false" ht="15" hidden="false" customHeight="false" outlineLevel="0" collapsed="false">
      <ns0:c r="B17" s="15" t="n">
        <ns0:v>10</ns0:v>
      </ns0:c>
      <ns0:c r="C17" s="15" t="s">
        <ns0:v>160</ns0:v>
      </ns0:c>
      <ns0:c r="D17" s="15" t="s">
        <ns0:v>161</ns0:v>
      </ns0:c>
      <ns0:c r="E17" s="15" t="s">
        <ns0:v>162</ns0:v>
      </ns0:c>
      <ns0:c r="F17" s="15" t="s">
        <ns0:v>163</ns0:v>
      </ns0:c>
      <ns0:c r="G17" s="15" t="s">
        <ns0:v>164</ns0:v>
      </ns0:c>
      <ns0:c r="H17" s="15" t="s">
        <ns0:v>165</ns0:v>
      </ns0:c>
      <ns0:c r="I17" s="15"/>
      <ns0:c r="N17" s="49" t="s">
        <ns0:v>161</ns0:v>
      </ns0:c>
    </ns0:row>
  </ns0:sheetData>
  <ns0:mergeCells count="3">
    <ns0:mergeCell ref="B1:I1"/>
    <ns0:mergeCell ref="K1:L1"/>
    <ns0:mergeCell ref="B3:I3"/>
  </ns0:mergeCells>
  <ns0:printOptions headings="false" gridLines="false" gridLinesSet="true" horizontalCentered="false" verticalCentered="false"/>
  <ns0:pageMargins left="0.75" right="0.75" top="1" bottom="1" header="0.511811023622047" footer="0.511811023622047"/>
  <ns0:pageSetup paperSize="9" scale="100" fitToWidth="1" fitToHeight="1" pageOrder="downThenOver" orientation="portrait" blackAndWhite="false" draft="false" cellComments="none" horizontalDpi="300" verticalDpi="300" copies="1"/>
  <ns0:headerFooter differentFirst="false" differentOddEven="false">
    <ns0:oddHeader/>
    <ns0:oddFooter/>
  </ns0:headerFooter>
  <ns0:drawing ns1:id="rId1"/>
</ns0:worksheet>
</file>

<file path=xl/worksheets/sheet6.xml><?xml version="1.0" encoding="utf-8"?>
<ns0:worksheet xmlns:ns0="http://schemas.openxmlformats.org/spreadsheetml/2006/main" xmlns:ns1="http://schemas.openxmlformats.org/officeDocument/2006/relationships">
  <ns0:sheetPr filterMode="false">
    <ns0:tabColor rgb="FF9B59B6"/>
    <ns0:pageSetUpPr fitToPage="false"/>
  </ns0:sheetPr>
  <ns0:dimension ref="B1:O22"/>
  <ns0:sheetViews>
    <ns0: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ns0:pane xSplit="1" ySplit="10" topLeftCell="B11" activePane="bottomRight" state="frozen"/>
      <ns0:selection pane="topLeft" activeCell="A1" activeCellId="0" sqref="A1"/>
      <ns0:selection pane="topRight" activeCell="B1" activeCellId="0" sqref="B1"/>
      <ns0:selection pane="bottomLeft" activeCell="A11" activeCellId="0" sqref="A11"/>
      <ns0:selection pane="bottomRight" activeCell="A1" activeCellId="0" sqref="A1"/>
    </ns0:sheetView>
  </ns0:sheetViews>
  <ns0:sheetFormatPr defaultColWidth="8.6796875" defaultRowHeight="15" zeroHeight="false" outlineLevelRow="0" outlineLevelCol="0"/>
  <ns0:cols>
    <ns0:col collapsed="false" customWidth="true" hidden="false" outlineLevel="0" max="2" min="2" style="0" width="8"/>
    <ns0:col collapsed="false" customWidth="true" hidden="false" outlineLevel="0" max="3" min="3" style="0" width="10"/>
    <ns0:col collapsed="false" customWidth="true" hidden="false" outlineLevel="0" max="5" min="4" style="0" width="14"/>
    <ns0:col collapsed="false" customWidth="true" hidden="false" outlineLevel="0" max="6" min="6" style="0" width="30"/>
    <ns0:col collapsed="false" customWidth="true" hidden="false" outlineLevel="0" max="9" min="7" style="0" width="14"/>
    <ns0:col collapsed="false" customWidth="true" hidden="false" outlineLevel="0" max="10" min="10" style="0" width="18"/>
    <ns0:col collapsed="false" customWidth="true" hidden="false" outlineLevel="0" max="11" min="11" style="0" width="16"/>
    <ns0:col collapsed="false" customWidth="true" hidden="false" outlineLevel="0" max="13" min="12" style="0" width="14"/>
    <ns0:col collapsed="false" customWidth="true" hidden="false" outlineLevel="0" max="14" min="14" style="0" width="18"/>
  </ns0:cols>
  <ns0:sheetData>
    <ns0:row r="1" customFormat="false" ht="19.7" hidden="false" customHeight="true" outlineLevel="0" collapsed="false">
      <ns0:c r="B1" s="36" t="s">
        <ns0:v>166</ns0:v>
      </ns0:c>
      <ns0:c r="C1" s="36"/>
      <ns0:c r="D1" s="36"/>
      <ns0:c r="E1" s="36"/>
      <ns0:c r="F1" s="36"/>
      <ns0:c r="G1" s="36"/>
      <ns0:c r="H1" s="36"/>
      <ns0:c r="I1" s="36"/>
      <ns0:c r="J1" s="36"/>
      <ns0:c r="K1" s="36"/>
      <ns0:c r="L1" s="36"/>
      <ns0:c r="N1" s="37" t="s">
        <ns0:v>56</ns0:v>
      </ns0:c>
      <ns0:c r="O1" s="37"/>
    </ns0:row>
    <ns0:row r="3" customFormat="false" ht="15" hidden="false" customHeight="true" outlineLevel="0" collapsed="false">
      <ns0:c r="B3" s="50" t="s">
        <ns0:v>167</ns0:v>
      </ns0:c>
      <ns0:c r="C3" s="50"/>
      <ns0:c r="D3" s="50"/>
      <ns0:c r="E3" s="50"/>
      <ns0:c r="F3" s="50"/>
      <ns0:c r="G3" s="50"/>
      <ns0:c r="H3" s="50"/>
      <ns0:c r="I3" s="50"/>
      <ns0:c r="J3" s="50"/>
      <ns0:c r="K3" s="50"/>
      <ns0:c r="L3" s="50"/>
    </ns0:row>
    <ns0:row r="4" customFormat="false" ht="15" hidden="false" customHeight="false" outlineLevel="0" collapsed="false">
      <ns0:c r="B4" s="51" t="s">
        <ns0:v>168</ns0:v>
      </ns0:c>
      <ns0:c r="D4" s="51" t="s">
        <ns0:v>169</ns0:v>
      </ns0:c>
      <ns0:c r="G4" s="51" t="s">
        <ns0:v>170</ns0:v>
      </ns0:c>
      <ns0:c r="I4" s="51" t="s">
        <ns0:v>171</ns0:v>
      </ns0:c>
      <ns0:c r="K4" s="51" t="s">
        <ns0:v>172</ns0:v>
      </ns0:c>
    </ns0:row>
    <ns0:row r="5" customFormat="false" ht="26.85" hidden="false" customHeight="false" outlineLevel="0" collapsed="false">
      <ns0:c r="C5" s="47"/>
      <ns0:c r="D5" s="52"/>
      <ns0:c r="E5" s="52"/>
      <ns0:c r="F5" s="52"/>
      <ns0:c r="H5" s="47"/>
      <ns0:c r="J5" s="47"/>
      <ns0:c r="L5" s="47"/>
      <ns0:c r="N5" s="53" t="s">
        <ns0:v>173</ns0:v>
      </ns0:c>
    </ns0:row>
    <ns0:row r="6" customFormat="false" ht="15" hidden="false" customHeight="false" outlineLevel="0" collapsed="false">
      <ns0:c r="B6" s="54" t="s">
        <ns0:v>174</ns0:v>
      </ns0:c>
      <ns0:c r="C6" s="55" t="str">
        <ns0:f aca="false">IF(C5="","",VLOOKUP(C5,НомернойФонд!$C$4:$I$19,2,FALSE()))</ns0:f>
        <ns0:v/>
      </ns0:c>
      <ns0:c r="D6" s="54" t="s">
        <ns0:v>175</ns0:v>
      </ns0:c>
      <ns0:c r="E6" s="56" t="str">
        <ns0:f aca="false">IF(C5="","",VLOOKUP(C5,НомернойФонд!$C$4:$I$19,5,FALSE()))</ns0:f>
        <ns0:v/>
      </ns0:c>
      <ns0:c r="F6" s="54" t="s">
        <ns0:v>176</ns0:v>
      </ns0:c>
      <ns0:c r="G6" s="57" t="str">
        <ns0:f aca="false">IF(C5="","",VLOOKUP(C5,НомернойФонд!$C$4:$I$19,7,FALSE()))</ns0:f>
        <ns0:v/>
      </ns0:c>
    </ns0:row>
    <ns0:row r="8" customFormat="false" ht="15" hidden="false" customHeight="false" outlineLevel="0" collapsed="false">
      <ns0:c r="B8" s="58" t="s">
        <ns0:v>177</ns0:v>
      </ns0:c>
      <ns0:c r="C8" s="58"/>
      <ns0:c r="D8" s="58"/>
      <ns0:c r="E8" s="59"/>
      <ns0:c r="F8" s="55" t="s">
        <ns0:v>178</ns0:v>
      </ns0:c>
      <ns0:c r="H8" s="58" t="s">
        <ns0:v>179</ns0:v>
      </ns0:c>
      <ns0:c r="I8" s="58"/>
      <ns0:c r="J8" s="60"/>
      <ns0:c r="K8" s="61" t="s">
        <ns0:v>180</ns0:v>
      </ns0:c>
      <ns0:c r="L8" s="62" t="s">
        <ns0:v>181</ns0:v>
      </ns0:c>
    </ns0:row>
    <ns0:row r="10" customFormat="false" ht="26.85" hidden="false" customHeight="false" outlineLevel="0" collapsed="false">
      <ns0:c r="B10" s="31" t="s">
        <ns0:v>59</ns0:v>
      </ns0:c>
      <ns0:c r="C10" s="31" t="s">
        <ns0:v>182</ns0:v>
      </ns0:c>
      <ns0:c r="D10" s="31" t="s">
        <ns0:v>60</ns0:v>
      </ns0:c>
      <ns0:c r="E10" s="31" t="s">
        <ns0:v>61</ns0:v>
      </ns0:c>
      <ns0:c r="F10" s="31" t="s">
        <ns0:v>183</ns0:v>
      </ns0:c>
      <ns0:c r="G10" s="31" t="s">
        <ns0:v>184</ns0:v>
      </ns0:c>
      <ns0:c r="H10" s="31" t="s">
        <ns0:v>185</ns0:v>
      </ns0:c>
      <ns0:c r="I10" s="31" t="s">
        <ns0:v>186</ns0:v>
      </ns0:c>
      <ns0:c r="J10" s="31" t="s">
        <ns0:v>187</ns0:v>
      </ns0:c>
      <ns0:c r="K10" s="31" t="s">
        <ns0:v>188</ns0:v>
      </ns0:c>
      <ns0:c r="L10" s="31" t="s">
        <ns0:v>189</ns0:v>
      </ns0:c>
      <ns0:c r="M10" s="31" t="s">
        <ns0:v>190</ns0:v>
      </ns0:c>
    </ns0:row>
    <ns0:row r="11" customFormat="false" ht="15" hidden="false" customHeight="false" outlineLevel="0" collapsed="false">
      <ns0:c r="B11" s="12" t="n">
        <ns0:v>1</ns0:v>
      </ns0:c>
      <ns0:c r="C11" s="12" t="s">
        <ns0:v>191</ns0:v>
      </ns0:c>
      <ns0:c r="D11" s="12" t="n">
        <ns0:v>103</ns0:v>
      </ns0:c>
      <ns0:c r="E11" s="12" t="s">
        <ns0:v>68</ns0:v>
      </ns0:c>
      <ns0:c r="F11" s="12" t="s">
        <ns0:v>104</ns0:v>
      </ns0:c>
      <ns0:c r="G11" s="63" t="n">
        <ns0:v>45693</ns0:v>
      </ns0:c>
      <ns0:c r="H11" s="63" t="n">
        <ns0:v>45698</ns0:v>
      </ns0:c>
      <ns0:c r="I11" s="64" t="n">
        <ns0:f aca="false">H11-G11</ns0:f>
        <ns0:v>5</ns0:v>
      </ns0:c>
      <ns0:c r="J11" s="41" t="n">
        <ns0:v>3200</ns0:v>
      </ns0:c>
      <ns0:c r="K11" s="41" t="n">
        <ns0:f aca="false">I11*J11</ns0:f>
        <ns0:v>16000</ns0:v>
      </ns0:c>
      <ns0:c r="L11" s="12" t="s">
        <ns0:v>192</ns0:v>
      </ns0:c>
      <ns0:c r="M11" s="12" t="n">
        <ns0:v>2</ns0:v>
      </ns0:c>
    </ns0:row>
    <ns0:row r="12" customFormat="false" ht="15" hidden="false" customHeight="false" outlineLevel="0" collapsed="false">
      <ns0:c r="B12" s="15" t="n">
        <ns0:v>2</ns0:v>
      </ns0:c>
      <ns0:c r="C12" s="15" t="s">
        <ns0:v>193</ns0:v>
      </ns0:c>
      <ns0:c r="D12" s="15" t="n">
        <ns0:v>202</ns0:v>
      </ns0:c>
      <ns0:c r="E12" s="15" t="s">
        <ns0:v>76</ns0:v>
      </ns0:c>
      <ns0:c r="F12" s="15" t="s">
        <ns0:v>111</ns0:v>
      </ns0:c>
      <ns0:c r="G12" s="65" t="n">
        <ns0:v>45691</ns0:v>
      </ns0:c>
      <ns0:c r="H12" s="65" t="n">
        <ns0:v>45695</ns0:v>
      </ns0:c>
      <ns0:c r="I12" s="66" t="n">
        <ns0:f aca="false">H12-G12</ns0:f>
        <ns0:v>4</ns0:v>
      </ns0:c>
      <ns0:c r="J12" s="44" t="n">
        <ns0:v>4500</ns0:v>
      </ns0:c>
      <ns0:c r="K12" s="44" t="n">
        <ns0:f aca="false">I12*J12</ns0:f>
        <ns0:v>18000</ns0:v>
      </ns0:c>
      <ns0:c r="L12" s="15" t="s">
        <ns0:v>192</ns0:v>
      </ns0:c>
      <ns0:c r="M12" s="15" t="n">
        <ns0:v>1</ns0:v>
      </ns0:c>
    </ns0:row>
    <ns0:row r="13" customFormat="false" ht="15" hidden="false" customHeight="false" outlineLevel="0" collapsed="false">
      <ns0:c r="B13" s="12" t="n">
        <ns0:v>3</ns0:v>
      </ns0:c>
      <ns0:c r="C13" s="12" t="s">
        <ns0:v>194</ns0:v>
      </ns0:c>
      <ns0:c r="D13" s="12" t="n">
        <ns0:v>105</ns0:v>
      </ns0:c>
      <ns0:c r="E13" s="12" t="s">
        <ns0:v>68</ns0:v>
      </ns0:c>
      <ns0:c r="F13" s="12" t="s">
        <ns0:v>117</ns0:v>
      </ns0:c>
      <ns0:c r="G13" s="63" t="n">
        <ns0:v>45700</ns0:v>
      </ns0:c>
      <ns0:c r="H13" s="63" t="n">
        <ns0:v>45703</ns0:v>
      </ns0:c>
      <ns0:c r="I13" s="64" t="n">
        <ns0:f aca="false">H13-G13</ns0:f>
        <ns0:v>3</ns0:v>
      </ns0:c>
      <ns0:c r="J13" s="41" t="n">
        <ns0:v>3500</ns0:v>
      </ns0:c>
      <ns0:c r="K13" s="41" t="n">
        <ns0:f aca="false">I13*J13</ns0:f>
        <ns0:v>10500</ns0:v>
      </ns0:c>
      <ns0:c r="L13" s="12" t="s">
        <ns0:v>75</ns0:v>
      </ns0:c>
      <ns0:c r="M13" s="12" t="n">
        <ns0:v>2</ns0:v>
      </ns0:c>
    </ns0:row>
    <ns0:row r="14" customFormat="false" ht="15" hidden="false" customHeight="false" outlineLevel="0" collapsed="false">
      <ns0:c r="B14" s="15" t="n">
        <ns0:v>4</ns0:v>
      </ns0:c>
      <ns0:c r="C14" s="15" t="s">
        <ns0:v>195</ns0:v>
      </ns0:c>
      <ns0:c r="D14" s="15" t="n">
        <ns0:v>302</ns0:v>
      </ns0:c>
      <ns0:c r="E14" s="15" t="s">
        <ns0:v>81</ns0:v>
      </ns0:c>
      <ns0:c r="F14" s="15" t="s">
        <ns0:v>124</ns0:v>
      </ns0:c>
      <ns0:c r="G14" s="65" t="n">
        <ns0:v>45689</ns0:v>
      </ns0:c>
      <ns0:c r="H14" s="65" t="n">
        <ns0:v>45696</ns0:v>
      </ns0:c>
      <ns0:c r="I14" s="66" t="n">
        <ns0:f aca="false">H14-G14</ns0:f>
        <ns0:v>7</ns0:v>
      </ns0:c>
      <ns0:c r="J14" s="44" t="n">
        <ns0:v>8500</ns0:v>
      </ns0:c>
      <ns0:c r="K14" s="44" t="n">
        <ns0:f aca="false">I14*J14</ns0:f>
        <ns0:v>59500</ns0:v>
      </ns0:c>
      <ns0:c r="L14" s="15" t="s">
        <ns0:v>192</ns0:v>
      </ns0:c>
      <ns0:c r="M14" s="15" t="n">
        <ns0:v>2</ns0:v>
      </ns0:c>
    </ns0:row>
    <ns0:row r="15" customFormat="false" ht="15" hidden="false" customHeight="false" outlineLevel="0" collapsed="false">
      <ns0:c r="B15" s="12" t="n">
        <ns0:v>5</ns0:v>
      </ns0:c>
      <ns0:c r="C15" s="12" t="s">
        <ns0:v>196</ns0:v>
      </ns0:c>
      <ns0:c r="D15" s="12" t="n">
        <ns0:v>205</ns0:v>
      </ns0:c>
      <ns0:c r="E15" s="12" t="s">
        <ns0:v>76</ns0:v>
      </ns0:c>
      <ns0:c r="F15" s="12" t="s">
        <ns0:v>130</ns0:v>
      </ns0:c>
      <ns0:c r="G15" s="63" t="n">
        <ns0:v>45702</ns0:v>
      </ns0:c>
      <ns0:c r="H15" s="63" t="n">
        <ns0:v>45706</ns0:v>
      </ns0:c>
      <ns0:c r="I15" s="64" t="n">
        <ns0:f aca="false">H15-G15</ns0:f>
        <ns0:v>4</ns0:v>
      </ns0:c>
      <ns0:c r="J15" s="41" t="n">
        <ns0:v>5200</ns0:v>
      </ns0:c>
      <ns0:c r="K15" s="41" t="n">
        <ns0:f aca="false">I15*J15</ns0:f>
        <ns0:v>20800</ns0:v>
      </ns0:c>
      <ns0:c r="L15" s="12" t="s">
        <ns0:v>75</ns0:v>
      </ns0:c>
      <ns0:c r="M15" s="12" t="n">
        <ns0:v>3</ns0:v>
      </ns0:c>
    </ns0:row>
    <ns0:row r="16" customFormat="false" ht="15" hidden="false" customHeight="false" outlineLevel="0" collapsed="false">
      <ns0:c r="B16" s="15" t="n">
        <ns0:v>6</ns0:v>
      </ns0:c>
      <ns0:c r="C16" s="15" t="s">
        <ns0:v>197</ns0:v>
      </ns0:c>
      <ns0:c r="D16" s="15" t="n">
        <ns0:v>402</ns0:v>
      </ns0:c>
      <ns0:c r="E16" s="15" t="s">
        <ns0:v>85</ns0:v>
      </ns0:c>
      <ns0:c r="F16" s="15" t="s">
        <ns0:v>149</ns0:v>
      </ns0:c>
      <ns0:c r="G16" s="65" t="n">
        <ns0:v>45708</ns0:v>
      </ns0:c>
      <ns0:c r="H16" s="65" t="n">
        <ns0:v>45713</ns0:v>
      </ns0:c>
      <ns0:c r="I16" s="66" t="n">
        <ns0:f aca="false">H16-G16</ns0:f>
        <ns0:v>5</ns0:v>
      </ns0:c>
      <ns0:c r="J16" s="44" t="n">
        <ns0:v>20000</ns0:v>
      </ns0:c>
      <ns0:c r="K16" s="44" t="n">
        <ns0:f aca="false">I16*J16</ns0:f>
        <ns0:v>100000</ns0:v>
      </ns0:c>
      <ns0:c r="L16" s="15" t="s">
        <ns0:v>75</ns0:v>
      </ns0:c>
      <ns0:c r="M16" s="15" t="n">
        <ns0:v>2</ns0:v>
      </ns0:c>
    </ns0:row>
    <ns0:row r="17" customFormat="false" ht="15" hidden="false" customHeight="false" outlineLevel="0" collapsed="false">
      <ns0:c r="B17" s="12" t="n">
        <ns0:v>7</ns0:v>
      </ns0:c>
      <ns0:c r="C17" s="12" t="s">
        <ns0:v>198</ns0:v>
      </ns0:c>
      <ns0:c r="D17" s="12" t="n">
        <ns0:v>101</ns0:v>
      </ns0:c>
      <ns0:c r="E17" s="12" t="s">
        <ns0:v>68</ns0:v>
      </ns0:c>
      <ns0:c r="F17" s="12" t="s">
        <ns0:v>137</ns0:v>
      </ns0:c>
      <ns0:c r="G17" s="63" t="n">
        <ns0:v>45685</ns0:v>
      </ns0:c>
      <ns0:c r="H17" s="63" t="n">
        <ns0:v>45690</ns0:v>
      </ns0:c>
      <ns0:c r="I17" s="64" t="n">
        <ns0:f aca="false">H17-G17</ns0:f>
        <ns0:v>5</ns0:v>
      </ns0:c>
      <ns0:c r="J17" s="41" t="n">
        <ns0:v>2500</ns0:v>
      </ns0:c>
      <ns0:c r="K17" s="41" t="n">
        <ns0:f aca="false">I17*J17</ns0:f>
        <ns0:v>12500</ns0:v>
      </ns0:c>
      <ns0:c r="L17" s="12" t="s">
        <ns0:v>199</ns0:v>
      </ns0:c>
      <ns0:c r="M17" s="12" t="n">
        <ns0:v>1</ns0:v>
      </ns0:c>
    </ns0:row>
    <ns0:row r="18" customFormat="false" ht="15" hidden="false" customHeight="false" outlineLevel="0" collapsed="false">
      <ns0:c r="B18" s="15" t="n">
        <ns0:v>8</ns0:v>
      </ns0:c>
      <ns0:c r="C18" s="15" t="s">
        <ns0:v>200</ns0:v>
      </ns0:c>
      <ns0:c r="D18" s="15" t="n">
        <ns0:v>301</ns0:v>
      </ns0:c>
      <ns0:c r="E18" s="15" t="s">
        <ns0:v>81</ns0:v>
      </ns0:c>
      <ns0:c r="F18" s="15" t="s">
        <ns0:v>143</ns0:v>
      </ns0:c>
      <ns0:c r="G18" s="65" t="n">
        <ns0:v>45682</ns0:v>
      </ns0:c>
      <ns0:c r="H18" s="65" t="n">
        <ns0:v>45687</ns0:v>
      </ns0:c>
      <ns0:c r="I18" s="66" t="n">
        <ns0:f aca="false">H18-G18</ns0:f>
        <ns0:v>5</ns0:v>
      </ns0:c>
      <ns0:c r="J18" s="44" t="n">
        <ns0:v>7500</ns0:v>
      </ns0:c>
      <ns0:c r="K18" s="44" t="n">
        <ns0:f aca="false">I18*J18</ns0:f>
        <ns0:v>37500</ns0:v>
      </ns0:c>
      <ns0:c r="L18" s="15" t="s">
        <ns0:v>199</ns0:v>
      </ns0:c>
      <ns0:c r="M18" s="15" t="n">
        <ns0:v>2</ns0:v>
      </ns0:c>
    </ns0:row>
    <ns0:row r="19" customFormat="false" ht="15" hidden="false" customHeight="false" outlineLevel="0" collapsed="false">
      <ns0:c r="B19" s="12" t="n">
        <ns0:v>9</ns0:v>
      </ns0:c>
      <ns0:c r="C19" s="12" t="s">
        <ns0:v>201</ns0:v>
      </ns0:c>
      <ns0:c r="D19" s="12" t="n">
        <ns0:v>201</ns0:v>
      </ns0:c>
      <ns0:c r="E19" s="12" t="s">
        <ns0:v>76</ns0:v>
      </ns0:c>
      <ns0:c r="F19" s="12" t="s">
        <ns0:v>155</ns0:v>
      </ns0:c>
      <ns0:c r="G19" s="63" t="n">
        <ns0:v>45677</ns0:v>
      </ns0:c>
      <ns0:c r="H19" s="63" t="n">
        <ns0:v>45682</ns0:v>
      </ns0:c>
      <ns0:c r="I19" s="64" t="n">
        <ns0:f aca="false">H19-G19</ns0:f>
        <ns0:v>5</ns0:v>
      </ns0:c>
      <ns0:c r="J19" s="41" t="n">
        <ns0:v>4500</ns0:v>
      </ns0:c>
      <ns0:c r="K19" s="41" t="n">
        <ns0:f aca="false">I19*J19</ns0:f>
        <ns0:v>22500</ns0:v>
      </ns0:c>
      <ns0:c r="L19" s="12" t="s">
        <ns0:v>199</ns0:v>
      </ns0:c>
      <ns0:c r="M19" s="12" t="n">
        <ns0:v>2</ns0:v>
      </ns0:c>
    </ns0:row>
    <ns0:row r="20" customFormat="false" ht="15" hidden="false" customHeight="false" outlineLevel="0" collapsed="false">
      <ns0:c r="B20" s="15" t="n">
        <ns0:v>10</ns0:v>
      </ns0:c>
      <ns0:c r="C20" s="15" t="s">
        <ns0:v>202</ns0:v>
      </ns0:c>
      <ns0:c r="D20" s="15" t="n">
        <ns0:v>104</ns0:v>
      </ns0:c>
      <ns0:c r="E20" s="15" t="s">
        <ns0:v>68</ns0:v>
      </ns0:c>
      <ns0:c r="F20" s="15" t="s">
        <ns0:v>161</ns0:v>
      </ns0:c>
      <ns0:c r="G20" s="65" t="n">
        <ns0:v>45689</ns0:v>
      </ns0:c>
      <ns0:c r="H20" s="65" t="n">
        <ns0:v>45691</ns0:v>
      </ns0:c>
      <ns0:c r="I20" s="66" t="n">
        <ns0:f aca="false">H20-G20</ns0:f>
        <ns0:v>2</ns0:v>
      </ns0:c>
      <ns0:c r="J20" s="44" t="n">
        <ns0:v>2500</ns0:v>
      </ns0:c>
      <ns0:c r="K20" s="44" t="n">
        <ns0:f aca="false">I20*J20</ns0:f>
        <ns0:v>5000</ns0:v>
      </ns0:c>
      <ns0:c r="L20" s="15" t="s">
        <ns0:v>199</ns0:v>
      </ns0:c>
      <ns0:c r="M20" s="15" t="n">
        <ns0:v>1</ns0:v>
      </ns0:c>
    </ns0:row>
    <ns0:row r="22" customFormat="false" ht="15" hidden="false" customHeight="false" outlineLevel="0" collapsed="false">
      <ns0:c r="B22" s="67" t="s">
        <ns0:v>203</ns0:v>
      </ns0:c>
      <ns0:c r="C22" s="67"/>
      <ns0:c r="D22" s="67"/>
      <ns0:c r="E22" s="67"/>
      <ns0:c r="F22" s="67"/>
      <ns0:c r="G22" s="67"/>
      <ns0:c r="H22" s="67"/>
      <ns0:c r="I22" s="67"/>
      <ns0:c r="J22" s="67"/>
      <ns0:c r="K22" s="68" t="n">
        <ns0:f aca="false">SUM(K11:K20)</ns0:f>
        <ns0:v>302300</ns0:v>
      </ns0:c>
    </ns0:row>
  </ns0:sheetData>
  <ns0:mergeCells count="7">
    <ns0:mergeCell ref="B1:L1"/>
    <ns0:mergeCell ref="N1:O1"/>
    <ns0:mergeCell ref="B3:L3"/>
    <ns0:mergeCell ref="D5:F5"/>
    <ns0:mergeCell ref="B8:D8"/>
    <ns0:mergeCell ref="H8:I8"/>
    <ns0:mergeCell ref="B22:J22"/>
  </ns0:mergeCells>
  <ns0:conditionalFormatting sqref="G6">
    <ns0:cfRule type="cellIs" priority="2" operator="equal" aboveAverage="0" equalAverage="0" bottom="0" percent="0" rank="0" text="" dxfId="0">
      <ns0:formula>"Свободен"</ns0:formula>
    </ns0:cfRule>
    <ns0:cfRule type="cellIs" priority="3" operator="equal" aboveAverage="0" equalAverage="0" bottom="0" percent="0" rank="0" text="" dxfId="1">
      <ns0:formula>"Занят"</ns0:formula>
    </ns0:cfRule>
    <ns0:cfRule type="cellIs" priority="4" operator="equal" aboveAverage="0" equalAverage="0" bottom="0" percent="0" rank="0" text="" dxfId="2">
      <ns0:formula>"Бронь"</ns0:formula>
    </ns0:cfRule>
  </ns0:conditionalFormatting>
  <ns0:conditionalFormatting sqref="L11:L20">
    <ns0:cfRule type="cellIs" priority="5" operator="equal" aboveAverage="0" equalAverage="0" bottom="0" percent="0" rank="0" text="" dxfId="0">
      <ns0:formula>"Активна"</ns0:formula>
    </ns0:cfRule>
    <ns0:cfRule type="cellIs" priority="6" operator="equal" aboveAverage="0" equalAverage="0" bottom="0" percent="0" rank="0" text="" dxfId="2">
      <ns0:formula>"Бронь"</ns0:formula>
    </ns0:cfRule>
    <ns0:cfRule type="cellIs" priority="7" operator="equal" aboveAverage="0" equalAverage="0" bottom="0" percent="0" rank="0" text="" dxfId="3">
      <ns0:formula>"Завершена"</ns0:formula>
    </ns0:cfRule>
    <ns0:cfRule type="cellIs" priority="8" operator="equal" aboveAverage="0" equalAverage="0" bottom="0" percent="0" rank="0" text="" dxfId="1">
      <ns0:formula>"Отменена"</ns0:formula>
    </ns0:cfRule>
  </ns0:conditionalFormatting>
  <ns0:dataValidations count="4">
    <ns0:dataValidation allowBlank="true" errorStyle="stop" operator="between" prompt="Выберите номер комнаты" promptTitle="Выбор номера" showDropDown="false" showErrorMessage="false" showInputMessage="false" sqref="C5" type="list">
      <ns0:formula1>"101,102,103,104,105,201,202,203,204,205,301,302,303,304,401,402"</ns0:formula1>
      <ns0:formula2>0</ns0:formula2>
    </ns0:dataValidation>
    <ns0:dataValidation allowBlank="true" errorStyle="stop" operator="between" prompt="Выберите гостя" showDropDown="false" showErrorMessage="false" showInputMessage="false" sqref="D5" type="list">
      <ns0:formula1>Гости!$D$8:$D$17</ns0:formula1>
      <ns0:formula2>0</ns0:formula2>
    </ns0:dataValidation>
    <ns0:dataValidation allowBlank="true" errorStyle="stop" operator="between" showDropDown="false" showErrorMessage="false" showInputMessage="false" sqref="E8" type="list">
      <ns0:formula1>"ID Брони,№ Комнаты,Гость,Дата заезда,Дата выезда,Статус,Итого"</ns0:formula1>
      <ns0:formula2>0</ns0:formula2>
    </ns0:dataValidation>
    <ns0:dataValidation allowBlank="false" errorStyle="stop" operator="between" showDropDown="false" showErrorMessage="false" showInputMessage="false" sqref="L11:L20" type="list">
      <ns0:formula1>"Активна,Бронь,Завершена,Отменена"</ns0:formula1>
      <ns0:formula2>0</ns0:formula2>
    </ns0:dataValidation>
  </ns0:dataValidations>
  <ns0:printOptions headings="false" gridLines="false" gridLinesSet="true" horizontalCentered="false" verticalCentered="false"/>
  <ns0:pageMargins left="0.75" right="0.75" top="1" bottom="1" header="0.511811023622047" footer="0.511811023622047"/>
  <ns0:pageSetup paperSize="9" scale="100" fitToWidth="1" fitToHeight="1" pageOrder="downThenOver" orientation="portrait" blackAndWhite="false" draft="false" cellComments="none" horizontalDpi="300" verticalDpi="300" copies="1"/>
  <ns0:headerFooter differentFirst="false" differentOddEven="false">
    <ns0:oddHeader/>
    <ns0:oddFooter/>
  </ns0:headerFooter>
  <ns0:drawing ns1:id="rId1"/>
</ns0:worksheet>
</file>

<file path=xl/worksheets/sheet7.xml><?xml version="1.0" encoding="utf-8"?>
<ns0:worksheet xmlns:ns0="http://schemas.openxmlformats.org/spreadsheetml/2006/main" xmlns:ns1="http://schemas.openxmlformats.org/officeDocument/2006/relationships">
  <ns0:sheetPr filterMode="false">
    <ns0:tabColor rgb="FF8E44AD"/>
    <ns0:pageSetUpPr fitToPage="false"/>
  </ns0:sheetPr>
  <ns0:dimension ref="B1:M27"/>
  <ns0:sheetViews>
    <ns0: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ns0:selection pane="topLeft" activeCell="A1" activeCellId="0" sqref="A1"/>
    </ns0:sheetView>
  </ns0:sheetViews>
  <ns0:sheetFormatPr defaultColWidth="8.6796875" defaultRowHeight="15" zeroHeight="false" outlineLevelRow="0" outlineLevelCol="0"/>
  <ns0:cols>
    <ns0:col collapsed="false" customWidth="true" hidden="false" outlineLevel="0" max="3" min="2" style="0" width="22"/>
    <ns0:col collapsed="false" customWidth="true" hidden="false" outlineLevel="0" max="5" min="4" style="0" width="20"/>
    <ns0:col collapsed="false" customWidth="true" hidden="false" outlineLevel="0" max="6" min="6" style="0" width="18"/>
  </ns0:cols>
  <ns0:sheetData>
    <ns0:row r="1" customFormat="false" ht="19.7" hidden="false" customHeight="true" outlineLevel="0" collapsed="false">
      <ns0:c r="B1" s="36" t="s">
        <ns0:v>204</ns0:v>
      </ns0:c>
      <ns0:c r="C1" s="36"/>
      <ns0:c r="D1" s="36"/>
      <ns0:c r="E1" s="36"/>
      <ns0:c r="F1" s="36"/>
      <ns0:c r="G1" s="36"/>
      <ns0:c r="H1" s="36"/>
      <ns0:c r="I1" s="36"/>
      <ns0:c r="J1" s="36"/>
      <ns0:c r="K1" s="36"/>
      <ns0:c r="L1" s="37" t="s">
        <ns0:v>56</ns0:v>
      </ns0:c>
      <ns0:c r="M1" s="37"/>
    </ns0:row>
    <ns0:row r="3" customFormat="false" ht="15" hidden="false" customHeight="true" outlineLevel="0" collapsed="false">
      <ns0:c r="B3" s="50" t="s">
        <ns0:v>205</ns0:v>
      </ns0:c>
      <ns0:c r="C3" s="50"/>
      <ns0:c r="D3" s="50"/>
      <ns0:c r="E3" s="50"/>
      <ns0:c r="F3" s="50"/>
    </ns0:row>
    <ns0:row r="4" customFormat="false" ht="26.85" hidden="false" customHeight="false" outlineLevel="0" collapsed="false">
      <ns0:c r="B4" s="31" t="s">
        <ns0:v>61</ns0:v>
      </ns0:c>
      <ns0:c r="C4" s="31" t="s">
        <ns0:v>206</ns0:v>
      </ns0:c>
      <ns0:c r="D4" s="31" t="s">
        <ns0:v>207</ns0:v>
      </ns0:c>
      <ns0:c r="E4" s="31" t="s">
        <ns0:v>208</ns0:v>
      </ns0:c>
      <ns0:c r="F4" s="31" t="s">
        <ns0:v>209</ns0:v>
      </ns0:c>
    </ns0:row>
    <ns0:row r="5" customFormat="false" ht="15" hidden="false" customHeight="false" outlineLevel="0" collapsed="false">
      <ns0:c r="B5" s="69" t="s">
        <ns0:v>68</ns0:v>
      </ns0:c>
      <ns0:c r="C5" s="70" t="n">
        <ns0:f aca="false">COUNTIF(Бронирование!$E$11:$E$20,B5)</ns0:f>
        <ns0:v>4</ns0:v>
      </ns0:c>
      <ns0:c r="D5" s="71" t="n">
        <ns0:f aca="false">SUMIF(Бронирование!$E$11:$E$20,B5,Бронирование!$K$11:$K$20)</ns0:f>
        <ns0:v>44000</ns0:v>
      </ns0:c>
      <ns0:c r="E5" s="71" t="n">
        <ns0:f aca="false">IF(C5=0,0,D5/C5)</ns0:f>
        <ns0:v>11000</ns0:v>
      </ns0:c>
      <ns0:c r="F5" s="72" t="n">
        <ns0:f aca="false">IF(D$9=0,0,D5/D$9)</ns0:f>
        <ns0:v>0.14555077737347</ns0:v>
      </ns0:c>
    </ns0:row>
    <ns0:row r="6" customFormat="false" ht="15" hidden="false" customHeight="false" outlineLevel="0" collapsed="false">
      <ns0:c r="B6" s="73" t="s">
        <ns0:v>76</ns0:v>
      </ns0:c>
      <ns0:c r="C6" s="74" t="n">
        <ns0:f aca="false">COUNTIF(Бронирование!$E$11:$E$20,B6)</ns0:f>
        <ns0:v>3</ns0:v>
      </ns0:c>
      <ns0:c r="D6" s="75" t="n">
        <ns0:f aca="false">SUMIF(Бронирование!$E$11:$E$20,B6,Бронирование!$K$11:$K$20)</ns0:f>
        <ns0:v>61300</ns0:v>
      </ns0:c>
      <ns0:c r="E6" s="75" t="n">
        <ns0:f aca="false">IF(C6=0,0,D6/C6)</ns0:f>
        <ns0:v>20433.3333333333</ns0:v>
      </ns0:c>
      <ns0:c r="F6" s="76" t="n">
        <ns0:f aca="false">IF(D$9=0,0,D6/D$9)</ns0:f>
        <ns0:v>0.202778696658948</ns0:v>
      </ns0:c>
    </ns0:row>
    <ns0:row r="7" customFormat="false" ht="15" hidden="false" customHeight="false" outlineLevel="0" collapsed="false">
      <ns0:c r="B7" s="69" t="s">
        <ns0:v>81</ns0:v>
      </ns0:c>
      <ns0:c r="C7" s="70" t="n">
        <ns0:f aca="false">COUNTIF(Бронирование!$E$11:$E$20,B7)</ns0:f>
        <ns0:v>2</ns0:v>
      </ns0:c>
      <ns0:c r="D7" s="71" t="n">
        <ns0:f aca="false">SUMIF(Бронирование!$E$11:$E$20,B7,Бронирование!$K$11:$K$20)</ns0:f>
        <ns0:v>97000</ns0:v>
      </ns0:c>
      <ns0:c r="E7" s="71" t="n">
        <ns0:f aca="false">IF(C7=0,0,D7/C7)</ns0:f>
        <ns0:v>48500</ns0:v>
      </ns0:c>
      <ns0:c r="F7" s="72" t="n">
        <ns0:f aca="false">IF(D$9=0,0,D7/D$9)</ns0:f>
        <ns0:v>0.320873304664241</ns0:v>
      </ns0:c>
    </ns0:row>
    <ns0:row r="8" customFormat="false" ht="15" hidden="false" customHeight="false" outlineLevel="0" collapsed="false">
      <ns0:c r="B8" s="73" t="s">
        <ns0:v>85</ns0:v>
      </ns0:c>
      <ns0:c r="C8" s="74" t="n">
        <ns0:f aca="false">COUNTIF(Бронирование!$E$11:$E$20,B8)</ns0:f>
        <ns0:v>1</ns0:v>
      </ns0:c>
      <ns0:c r="D8" s="75" t="n">
        <ns0:f aca="false">SUMIF(Бронирование!$E$11:$E$20,B8,Бронирование!$K$11:$K$20)</ns0:f>
        <ns0:v>100000</ns0:v>
      </ns0:c>
      <ns0:c r="E8" s="75" t="n">
        <ns0:f aca="false">IF(C8=0,0,D8/C8)</ns0:f>
        <ns0:v>100000</ns0:v>
      </ns0:c>
      <ns0:c r="F8" s="76" t="n">
        <ns0:f aca="false">IF(D$9=0,0,D8/D$9)</ns0:f>
        <ns0:v>0.330797221303341</ns0:v>
      </ns0:c>
    </ns0:row>
    <ns0:row r="9" customFormat="false" ht="15" hidden="false" customHeight="false" outlineLevel="0" collapsed="false">
      <ns0:c r="B9" s="77" t="s">
        <ns0:v>210</ns0:v>
      </ns0:c>
      <ns0:c r="C9" s="78" t="n">
        <ns0:f aca="false">SUM(C5:C8)</ns0:f>
        <ns0:v>10</ns0:v>
      </ns0:c>
      <ns0:c r="D9" s="79" t="n">
        <ns0:f aca="false">SUM(D5:D8)</ns0:f>
        <ns0:v>302300</ns0:v>
      </ns0:c>
      <ns0:c r="E9" s="80"/>
      <ns0:c r="F9" s="81" t="n">
        <ns0:f aca="false">SUM(F5:F8)</ns0:f>
        <ns0:v>1</ns0:v>
      </ns0:c>
    </ns0:row>
    <ns0:row r="12" customFormat="false" ht="15" hidden="false" customHeight="true" outlineLevel="0" collapsed="false">
      <ns0:c r="B12" s="82" t="s">
        <ns0:v>211</ns0:v>
      </ns0:c>
      <ns0:c r="C12" s="82"/>
      <ns0:c r="D12" s="82"/>
      <ns0:c r="E12" s="82"/>
      <ns0:c r="F12" s="82"/>
    </ns0:row>
    <ns0:row r="13" customFormat="false" ht="26.85" hidden="false" customHeight="false" outlineLevel="0" collapsed="false">
      <ns0:c r="B13" s="31" t="s">
        <ns0:v>66</ns0:v>
      </ns0:c>
      <ns0:c r="C13" s="31" t="s">
        <ns0:v>212</ns0:v>
      </ns0:c>
      <ns0:c r="D13" s="31" t="s">
        <ns0:v>213</ns0:v>
      </ns0:c>
      <ns0:c r="E13" s="31" t="s">
        <ns0:v>214</ns0:v>
      </ns0:c>
      <ns0:c r="F13" s="31" t="s">
        <ns0:v>215</ns0:v>
      </ns0:c>
    </ns0:row>
    <ns0:row r="14" customFormat="false" ht="15" hidden="false" customHeight="false" outlineLevel="0" collapsed="false">
      <ns0:c r="B14" s="69" t="s">
        <ns0:v>192</ns0:v>
      </ns0:c>
      <ns0:c r="C14" s="70" t="n">
        <ns0:f aca="false">COUNTIF(Бронирование!$L$11:$L$20,B14)</ns0:f>
        <ns0:v>3</ns0:v>
      </ns0:c>
      <ns0:c r="D14" s="71" t="n">
        <ns0:f aca="false">SUMIF(Бронирование!$L$11:$L$20,B14,Бронирование!$K$11:$K$20)</ns0:f>
        <ns0:v>93500</ns0:v>
      </ns0:c>
      <ns0:c r="E14" s="71" t="n">
        <ns0:f aca="false">IF(C14=0,0,D14/C14)</ns0:f>
        <ns0:v>31166.6666666667</ns0:v>
      </ns0:c>
      <ns0:c r="F14" s="72" t="n">
        <ns0:f aca="false">IF(C$18=0,0,C14/C$18)</ns0:f>
        <ns0:v>0.3</ns0:v>
      </ns0:c>
    </ns0:row>
    <ns0:row r="15" customFormat="false" ht="15" hidden="false" customHeight="false" outlineLevel="0" collapsed="false">
      <ns0:c r="B15" s="73" t="s">
        <ns0:v>75</ns0:v>
      </ns0:c>
      <ns0:c r="C15" s="74" t="n">
        <ns0:f aca="false">COUNTIF(Бронирование!$L$11:$L$20,B15)</ns0:f>
        <ns0:v>3</ns0:v>
      </ns0:c>
      <ns0:c r="D15" s="75" t="n">
        <ns0:f aca="false">SUMIF(Бронирование!$L$11:$L$20,B15,Бронирование!$K$11:$K$20)</ns0:f>
        <ns0:v>131300</ns0:v>
      </ns0:c>
      <ns0:c r="E15" s="75" t="n">
        <ns0:f aca="false">IF(C15=0,0,D15/C15)</ns0:f>
        <ns0:v>43766.6666666667</ns0:v>
      </ns0:c>
      <ns0:c r="F15" s="76" t="n">
        <ns0:f aca="false">IF(C$18=0,0,C15/C$18)</ns0:f>
        <ns0:v>0.3</ns0:v>
      </ns0:c>
    </ns0:row>
    <ns0:row r="16" customFormat="false" ht="15" hidden="false" customHeight="false" outlineLevel="0" collapsed="false">
      <ns0:c r="B16" s="69" t="s">
        <ns0:v>199</ns0:v>
      </ns0:c>
      <ns0:c r="C16" s="70" t="n">
        <ns0:f aca="false">COUNTIF(Бронирование!$L$11:$L$20,B16)</ns0:f>
        <ns0:v>4</ns0:v>
      </ns0:c>
      <ns0:c r="D16" s="71" t="n">
        <ns0:f aca="false">SUMIF(Бронирование!$L$11:$L$20,B16,Бронирование!$K$11:$K$20)</ns0:f>
        <ns0:v>77500</ns0:v>
      </ns0:c>
      <ns0:c r="E16" s="71" t="n">
        <ns0:f aca="false">IF(C16=0,0,D16/C16)</ns0:f>
        <ns0:v>19375</ns0:v>
      </ns0:c>
      <ns0:c r="F16" s="72" t="n">
        <ns0:f aca="false">IF(C$18=0,0,C16/C$18)</ns0:f>
        <ns0:v>0.4</ns0:v>
      </ns0:c>
    </ns0:row>
    <ns0:row r="17" customFormat="false" ht="15" hidden="false" customHeight="false" outlineLevel="0" collapsed="false">
      <ns0:c r="B17" s="73" t="s">
        <ns0:v>216</ns0:v>
      </ns0:c>
      <ns0:c r="C17" s="74" t="n">
        <ns0:f aca="false">COUNTIF(Бронирование!$L$11:$L$20,B17)</ns0:f>
        <ns0:v>0</ns0:v>
      </ns0:c>
      <ns0:c r="D17" s="75" t="n">
        <ns0:f aca="false">SUMIF(Бронирование!$L$11:$L$20,B17,Бронирование!$K$11:$K$20)</ns0:f>
        <ns0:v>0</ns0:v>
      </ns0:c>
      <ns0:c r="E17" s="75" t="n">
        <ns0:f aca="false">IF(C17=0,0,D17/C17)</ns0:f>
        <ns0:v>0</ns0:v>
      </ns0:c>
      <ns0:c r="F17" s="76" t="n">
        <ns0:f aca="false">IF(C$18=0,0,C17/C$18)</ns0:f>
        <ns0:v>0</ns0:v>
      </ns0:c>
    </ns0:row>
    <ns0:row r="18" customFormat="false" ht="15" hidden="false" customHeight="false" outlineLevel="0" collapsed="false">
      <ns0:c r="B18" s="77" t="s">
        <ns0:v>210</ns0:v>
      </ns0:c>
      <ns0:c r="C18" s="78" t="n">
        <ns0:f aca="false">SUM(C14:C17)</ns0:f>
        <ns0:v>10</ns0:v>
      </ns0:c>
      <ns0:c r="D18" s="79" t="n">
        <ns0:f aca="false">SUM(D14:D17)</ns0:f>
        <ns0:v>302300</ns0:v>
      </ns0:c>
    </ns0:row>
    <ns0:row r="21" customFormat="false" ht="15" hidden="false" customHeight="true" outlineLevel="0" collapsed="false">
      <ns0:c r="B21" s="83" t="s">
        <ns0:v>217</ns0:v>
      </ns0:c>
      <ns0:c r="C21" s="83"/>
      <ns0:c r="D21" s="83"/>
      <ns0:c r="E21" s="83"/>
      <ns0:c r="F21" s="83"/>
    </ns0:row>
    <ns0:row r="22" customFormat="false" ht="15" hidden="false" customHeight="false" outlineLevel="0" collapsed="false">
      <ns0:c r="B22" s="31" t="s">
        <ns0:v>218</ns0:v>
      </ns0:c>
      <ns0:c r="C22" s="31" t="s">
        <ns0:v>68</ns0:v>
      </ns0:c>
      <ns0:c r="D22" s="31" t="s">
        <ns0:v>76</ns0:v>
      </ns0:c>
      <ns0:c r="E22" s="31" t="s">
        <ns0:v>81</ns0:v>
      </ns0:c>
      <ns0:c r="F22" s="31" t="s">
        <ns0:v>85</ns0:v>
      </ns0:c>
    </ns0:row>
    <ns0:row r="23" customFormat="false" ht="15" hidden="false" customHeight="false" outlineLevel="0" collapsed="false">
      <ns0:c r="B23" s="78" t="s">
        <ns0:v>219</ns0:v>
      </ns0:c>
      <ns0:c r="C23" s="70" t="n">
        <ns0:f aca="false">COUNTIF(НомернойФонд!$D$4:$D$19,"Стандарт")</ns0:f>
        <ns0:v>5</ns0:v>
      </ns0:c>
      <ns0:c r="D23" s="70" t="n">
        <ns0:f aca="false">COUNTIF(НомернойФонд!$D$4:$D$19,"Полулюкс")</ns0:f>
        <ns0:v>5</ns0:v>
      </ns0:c>
      <ns0:c r="E23" s="70" t="n">
        <ns0:f aca="false">COUNTIF(НомернойФонд!$D$4:$D$19,"Люкс")</ns0:f>
        <ns0:v>4</ns0:v>
      </ns0:c>
      <ns0:c r="F23" s="70" t="n">
        <ns0:f aca="false">COUNTIF(НомернойФонд!$D$4:$D$19,"Президентский")</ns0:f>
        <ns0:v>2</ns0:v>
      </ns0:c>
    </ns0:row>
    <ns0:row r="24" customFormat="false" ht="15" hidden="false" customHeight="false" outlineLevel="0" collapsed="false">
      <ns0:c r="B24" s="78" t="s">
        <ns0:v>220</ns0:v>
      </ns0:c>
      <ns0:c r="C24" s="74" t="n">
        <ns0:f aca="false">COUNTIFS(НомернойФонд!$D$4:$D$19,"Стандарт",НомернойФонд!$I$4:$I$19,"Свободен")</ns0:f>
        <ns0:v>3</ns0:v>
      </ns0:c>
      <ns0:c r="D24" s="74" t="n">
        <ns0:f aca="false">COUNTIFS(НомернойФонд!$D$4:$D$19,"Полулюкс",НомернойФонд!$I$4:$I$19,"Свободен")</ns0:f>
        <ns0:v>3</ns0:v>
      </ns0:c>
      <ns0:c r="E24" s="74" t="n">
        <ns0:f aca="false">COUNTIFS(НомернойФонд!$D$4:$D$19,"Люкс",НомернойФонд!$I$4:$I$19,"Свободен")</ns0:f>
        <ns0:v>3</ns0:v>
      </ns0:c>
      <ns0:c r="F24" s="74" t="n">
        <ns0:f aca="false">COUNTIFS(НомернойФонд!$D$4:$D$19,"Президентский",НомернойФонд!$I$4:$I$19,"Свободен")</ns0:f>
        <ns0:v>1</ns0:v>
      </ns0:c>
    </ns0:row>
    <ns0:row r="25" customFormat="false" ht="15" hidden="false" customHeight="false" outlineLevel="0" collapsed="false">
      <ns0:c r="B25" s="78" t="s">
        <ns0:v>221</ns0:v>
      </ns0:c>
      <ns0:c r="C25" s="70" t="n">
        <ns0:f aca="false">COUNTIFS(НомернойФонд!$D$4:$D$19,"Стандарт",НомернойФонд!$I$4:$I$19,"Занят")</ns0:f>
        <ns0:v>1</ns0:v>
      </ns0:c>
      <ns0:c r="D25" s="70" t="n">
        <ns0:f aca="false">COUNTIFS(НомернойФонд!$D$4:$D$19,"Полулюкс",НомернойФонд!$I$4:$I$19,"Занят")</ns0:f>
        <ns0:v>1</ns0:v>
      </ns0:c>
      <ns0:c r="E25" s="70" t="n">
        <ns0:f aca="false">COUNTIFS(НомернойФонд!$D$4:$D$19,"Люкс",НомернойФонд!$I$4:$I$19,"Занят")</ns0:f>
        <ns0:v>1</ns0:v>
      </ns0:c>
      <ns0:c r="F25" s="70" t="n">
        <ns0:f aca="false">COUNTIFS(НомернойФонд!$D$4:$D$19,"Президентский",НомернойФонд!$I$4:$I$19,"Занят")</ns0:f>
        <ns0:v>0</ns0:v>
      </ns0:c>
    </ns0:row>
    <ns0:row r="26" customFormat="false" ht="15" hidden="false" customHeight="false" outlineLevel="0" collapsed="false">
      <ns0:c r="B26" s="78" t="s">
        <ns0:v>222</ns0:v>
      </ns0:c>
      <ns0:c r="C26" s="74" t="n">
        <ns0:f aca="false">COUNTIFS(НомернойФонд!$D$4:$D$19,"Стандарт",НомернойФонд!$I$4:$I$19,"Бронь")</ns0:f>
        <ns0:v>1</ns0:v>
      </ns0:c>
      <ns0:c r="D26" s="74" t="n">
        <ns0:f aca="false">COUNTIFS(НомернойФонд!$D$4:$D$19,"Полулюкс",НомернойФонд!$I$4:$I$19,"Бронь")</ns0:f>
        <ns0:v>1</ns0:v>
      </ns0:c>
      <ns0:c r="E26" s="74" t="n">
        <ns0:f aca="false">COUNTIFS(НомернойФонд!$D$4:$D$19,"Люкс",НомернойФонд!$I$4:$I$19,"Бронь")</ns0:f>
        <ns0:v>0</ns0:v>
      </ns0:c>
      <ns0:c r="F26" s="74" t="n">
        <ns0:f aca="false">COUNTIFS(НомернойФонд!$D$4:$D$19,"Президентский",НомернойФонд!$I$4:$I$19,"Бронь")</ns0:f>
        <ns0:v>1</ns0:v>
      </ns0:c>
    </ns0:row>
    <ns0:row r="27" customFormat="false" ht="15" hidden="false" customHeight="false" outlineLevel="0" collapsed="false">
      <ns0:c r="B27" s="78" t="s">
        <ns0:v>223</ns0:v>
      </ns0:c>
      <ns0:c r="C27" s="72" t="n">
        <ns0:f aca="false">IF(C23=0,0,(C25+C26)/C23)</ns0:f>
        <ns0:v>0.4</ns0:v>
      </ns0:c>
      <ns0:c r="D27" s="72" t="n">
        <ns0:f aca="false">IF(D23=0,0,(D25+D26)/D23)</ns0:f>
        <ns0:v>0.4</ns0:v>
      </ns0:c>
      <ns0:c r="E27" s="72" t="n">
        <ns0:f aca="false">IF(E23=0,0,(E25+E26)/E23)</ns0:f>
        <ns0:v>0.25</ns0:v>
      </ns0:c>
      <ns0:c r="F27" s="72" t="n">
        <ns0:f aca="false">IF(F23=0,0,(F25+F26)/F23)</ns0:f>
        <ns0:v>0.5</ns0:v>
      </ns0:c>
    </ns0:row>
  </ns0:sheetData>
  <ns0:mergeCells count="5">
    <ns0:mergeCell ref="B1:K1"/>
    <ns0:mergeCell ref="L1:M1"/>
    <ns0:mergeCell ref="B3:F3"/>
    <ns0:mergeCell ref="B12:F12"/>
    <ns0:mergeCell ref="B21:F21"/>
  </ns0:mergeCells>
  <ns0:printOptions headings="false" gridLines="false" gridLinesSet="true" horizontalCentered="false" verticalCentered="false"/>
  <ns0:pageMargins left="0.75" right="0.75" top="1" bottom="1" header="0.511811023622047" footer="0.511811023622047"/>
  <ns0:pageSetup paperSize="9" scale="100" fitToWidth="1" fitToHeight="1" pageOrder="downThenOver" orientation="portrait" blackAndWhite="false" draft="false" cellComments="none" horizontalDpi="300" verticalDpi="300" copies="1"/>
  <ns0:headerFooter differentFirst="false" differentOddEven="false">
    <ns0:oddHeader/>
    <ns0:oddFooter/>
  </ns0:headerFooter>
  <ns0:drawing ns1:id="rId2"/>
</ns0:worksheet>
</file>

<file path=xl/worksheets/sheet8.xml><?xml version="1.0" encoding="utf-8"?>
<worksheet xmlns="http://schemas.openxmlformats.org/spreadsheetml/2006/main">
  <sheetPr filterMode="false">
    <tabColor rgb="FFE74C3C"/>
    <pageSetUpPr fitToPage="false"/>
  </sheetPr>
  <dimension ref="B1:L4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2" min="2" style="0" width="80"/>
  </cols>
  <sheetData>
    <row r="1" customFormat="false" ht="19.7" hidden="false" customHeight="true" outlineLevel="0" collapsed="false">
      <c r="B1" s="36" t="s">
        <v>224</v>
      </c>
      <c r="C1" s="36"/>
      <c r="D1" s="36"/>
      <c r="E1" s="36"/>
      <c r="F1" s="36"/>
      <c r="G1" s="36"/>
      <c r="H1" s="36"/>
      <c r="I1" s="36"/>
      <c r="J1" s="36"/>
      <c r="K1" s="36"/>
      <c r="L1" s="36"/>
    </row>
    <row r="2" customFormat="false" ht="15" hidden="false" customHeight="false" outlineLevel="0" collapsed="false">
      <c r="B2" s="84"/>
    </row>
    <row r="3" customFormat="false" ht="15" hidden="false" customHeight="false" outlineLevel="0" collapsed="false">
      <c r="B3" s="85" t="s">
        <v>225</v>
      </c>
    </row>
    <row r="4" customFormat="false" ht="15" hidden="false" customHeight="false" outlineLevel="0" collapsed="false">
      <c r="B4" s="84" t="s">
        <v>226</v>
      </c>
    </row>
    <row r="5" customFormat="false" ht="15" hidden="false" customHeight="false" outlineLevel="0" collapsed="false">
      <c r="B5" s="84"/>
    </row>
    <row r="6" customFormat="false" ht="15" hidden="false" customHeight="false" outlineLevel="0" collapsed="false">
      <c r="B6" s="84" t="s">
        <v>227</v>
      </c>
    </row>
    <row r="7" customFormat="false" ht="15" hidden="false" customHeight="false" outlineLevel="0" collapsed="false">
      <c r="B7" s="84" t="s">
        <v>228</v>
      </c>
    </row>
    <row r="8" customFormat="false" ht="15" hidden="false" customHeight="false" outlineLevel="0" collapsed="false">
      <c r="B8" s="84"/>
    </row>
    <row r="9" customFormat="false" ht="15" hidden="false" customHeight="false" outlineLevel="0" collapsed="false">
      <c r="B9" s="85" t="s">
        <v>229</v>
      </c>
    </row>
    <row r="10" customFormat="false" ht="15" hidden="false" customHeight="false" outlineLevel="0" collapsed="false">
      <c r="B10" s="85" t="s">
        <v>230</v>
      </c>
    </row>
    <row r="11" customFormat="false" ht="15" hidden="false" customHeight="false" outlineLevel="0" collapsed="false">
      <c r="B11" s="84"/>
    </row>
    <row r="12" customFormat="false" ht="15" hidden="false" customHeight="false" outlineLevel="0" collapsed="false">
      <c r="B12" s="86" t="s">
        <v>231</v>
      </c>
    </row>
    <row r="13" customFormat="false" ht="15" hidden="false" customHeight="false" outlineLevel="0" collapsed="false">
      <c r="B13" s="87" t="s">
        <v>232</v>
      </c>
    </row>
    <row r="14" customFormat="false" ht="15" hidden="false" customHeight="false" outlineLevel="0" collapsed="false">
      <c r="B14" s="87" t="s">
        <v>233</v>
      </c>
    </row>
    <row r="15" customFormat="false" ht="15" hidden="false" customHeight="false" outlineLevel="0" collapsed="false">
      <c r="B15" s="87" t="s">
        <v>234</v>
      </c>
    </row>
    <row r="16" customFormat="false" ht="15" hidden="false" customHeight="false" outlineLevel="0" collapsed="false">
      <c r="B16" s="84"/>
    </row>
    <row r="17" customFormat="false" ht="15" hidden="false" customHeight="false" outlineLevel="0" collapsed="false">
      <c r="B17" s="86" t="s">
        <v>235</v>
      </c>
    </row>
    <row r="18" customFormat="false" ht="15" hidden="false" customHeight="false" outlineLevel="0" collapsed="false">
      <c r="B18" s="87" t="s">
        <v>236</v>
      </c>
    </row>
    <row r="19" customFormat="false" ht="15" hidden="false" customHeight="false" outlineLevel="0" collapsed="false">
      <c r="B19" s="87" t="s">
        <v>237</v>
      </c>
    </row>
    <row r="20" customFormat="false" ht="15" hidden="false" customHeight="false" outlineLevel="0" collapsed="false">
      <c r="B20" s="87" t="s">
        <v>238</v>
      </c>
    </row>
    <row r="21" customFormat="false" ht="15" hidden="false" customHeight="false" outlineLevel="0" collapsed="false">
      <c r="B21" s="87" t="s">
        <v>239</v>
      </c>
    </row>
    <row r="22" customFormat="false" ht="15" hidden="false" customHeight="false" outlineLevel="0" collapsed="false">
      <c r="B22" s="84"/>
    </row>
    <row r="23" customFormat="false" ht="15" hidden="false" customHeight="false" outlineLevel="0" collapsed="false">
      <c r="B23" s="86" t="s">
        <v>240</v>
      </c>
    </row>
    <row r="24" customFormat="false" ht="15" hidden="false" customHeight="false" outlineLevel="0" collapsed="false">
      <c r="B24" s="87" t="s">
        <v>241</v>
      </c>
    </row>
    <row r="25" customFormat="false" ht="15" hidden="false" customHeight="false" outlineLevel="0" collapsed="false">
      <c r="B25" s="87" t="s">
        <v>242</v>
      </c>
    </row>
    <row r="26" customFormat="false" ht="15" hidden="false" customHeight="false" outlineLevel="0" collapsed="false">
      <c r="B26" s="84"/>
    </row>
    <row r="27" customFormat="false" ht="15" hidden="false" customHeight="false" outlineLevel="0" collapsed="false">
      <c r="B27" s="86" t="s">
        <v>243</v>
      </c>
    </row>
    <row r="28" customFormat="false" ht="15" hidden="false" customHeight="false" outlineLevel="0" collapsed="false">
      <c r="B28" s="87" t="s">
        <v>244</v>
      </c>
    </row>
    <row r="29" customFormat="false" ht="15" hidden="false" customHeight="false" outlineLevel="0" collapsed="false">
      <c r="B29" s="87" t="s">
        <v>245</v>
      </c>
    </row>
    <row r="30" customFormat="false" ht="15" hidden="false" customHeight="false" outlineLevel="0" collapsed="false">
      <c r="B30" s="84"/>
    </row>
    <row r="31" customFormat="false" ht="15" hidden="false" customHeight="false" outlineLevel="0" collapsed="false">
      <c r="B31" s="86" t="s">
        <v>246</v>
      </c>
    </row>
    <row r="32" customFormat="false" ht="15" hidden="false" customHeight="false" outlineLevel="0" collapsed="false">
      <c r="B32" s="87" t="s">
        <v>247</v>
      </c>
    </row>
    <row r="33" customFormat="false" ht="15" hidden="false" customHeight="false" outlineLevel="0" collapsed="false">
      <c r="B33" s="84"/>
    </row>
    <row r="34" customFormat="false" ht="15" hidden="false" customHeight="false" outlineLevel="0" collapsed="false">
      <c r="B34" s="86" t="s">
        <v>248</v>
      </c>
    </row>
    <row r="35" customFormat="false" ht="15" hidden="false" customHeight="false" outlineLevel="0" collapsed="false">
      <c r="B35" s="87" t="s">
        <v>249</v>
      </c>
    </row>
    <row r="36" customFormat="false" ht="15" hidden="false" customHeight="false" outlineLevel="0" collapsed="false">
      <c r="B36" s="84"/>
    </row>
    <row r="37" customFormat="false" ht="15" hidden="false" customHeight="false" outlineLevel="0" collapsed="false">
      <c r="B37" s="85" t="s">
        <v>229</v>
      </c>
    </row>
    <row r="38" customFormat="false" ht="15" hidden="false" customHeight="false" outlineLevel="0" collapsed="false">
      <c r="B38" s="85" t="s">
        <v>250</v>
      </c>
    </row>
    <row r="39" customFormat="false" ht="15" hidden="false" customHeight="false" outlineLevel="0" collapsed="false">
      <c r="B39" s="84" t="s">
        <v>251</v>
      </c>
    </row>
    <row r="40" customFormat="false" ht="15" hidden="false" customHeight="false" outlineLevel="0" collapsed="false">
      <c r="B40" s="84" t="s">
        <v>252</v>
      </c>
    </row>
  </sheetData>
  <mergeCells count="1">
    <mergeCell ref="B1:L1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2026-02-11T06:12:54Z</dcterms:created>
  <dc:creator>openpyxl</dc:creator>
  <dc:description/>
  <dc:language>en-US</dc:language>
  <cp:lastModifiedBy/>
  <dcterms:modified xsi:type="dcterms:W3CDTF">2026-02-11T06:13:03Z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